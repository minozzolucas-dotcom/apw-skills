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Investment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Check List" sheetId="3" state="visible" r:id="rId3"/>
    <sheet xmlns:r="http://schemas.openxmlformats.org/officeDocument/2006/relationships" name="Cod. Bancos" sheetId="4" state="visible" r:id="rId4"/>
  </sheets>
  <definedNames/>
  <calcPr calcId="191029" fullCalcOnLoad="1" iterate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_-[$R$-416]* #,##0.00_-;\-[$R$-416]* #,##0.00_-;_-[$R$-416]* &quot;-&quot;??_-;_-@_-"/>
    <numFmt numFmtId="166" formatCode="_-[$R$-416]\ * #,##0.00_-;\-[$R$-416]\ * #,##0.00_-;_-[$R$-416]\ * &quot;-&quot;??_-;_-@_-"/>
    <numFmt numFmtId="167" formatCode="_-* #,##0.00_-;\-* #,##0.00_-;_-* &quot;-&quot;??_-;_-@_-"/>
    <numFmt numFmtId="168" formatCode="[$-F800]dddd\,\ mmmm\ dd\,\ yyyy"/>
  </numFmts>
  <fonts count="2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rgb="FFFF0000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rgb="FFFF0000"/>
      <sz val="11"/>
      <scheme val="minor"/>
    </font>
    <font>
      <name val="Arial"/>
      <family val="2"/>
      <color theme="1"/>
      <sz val="10"/>
    </font>
    <font>
      <name val="Calibri"/>
      <family val="2"/>
      <b val="1"/>
      <color rgb="FFFF0000"/>
      <sz val="11"/>
      <u val="single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0"/>
      <sz val="16"/>
      <scheme val="minor"/>
    </font>
    <font>
      <name val="Times New Roman"/>
      <family val="1"/>
      <b val="1"/>
      <color theme="1"/>
      <sz val="7"/>
    </font>
    <font>
      <name val="Calibri"/>
      <family val="2"/>
      <color theme="1"/>
      <sz val="10"/>
      <u val="single"/>
      <scheme val="minor"/>
    </font>
    <font>
      <name val="Calibri"/>
      <family val="2"/>
      <b val="1"/>
      <sz val="14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Arial"/>
      <family val="2"/>
      <color rgb="FFFF0000"/>
      <sz val="10"/>
    </font>
    <font>
      <name val="Arial"/>
      <family val="2"/>
      <color rgb="FF202020"/>
      <sz val="9.9"/>
    </font>
    <font>
      <name val="Georgia"/>
      <family val="1"/>
      <color theme="1"/>
      <sz val="11"/>
    </font>
    <font>
      <name val="Georgia"/>
      <family val="1"/>
      <color rgb="FF202020"/>
      <sz val="11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E9E9E9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2">
    <xf numFmtId="0" fontId="1" fillId="0" borderId="0"/>
    <xf numFmtId="164" fontId="1" fillId="0" borderId="0"/>
    <xf numFmtId="0" fontId="14" fillId="0" borderId="0"/>
    <xf numFmtId="43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20" fillId="0" borderId="0"/>
  </cellStyleXfs>
  <cellXfs count="140">
    <xf numFmtId="0" fontId="0" fillId="0" borderId="0" pivotButton="0" quotePrefix="0" xfId="0"/>
    <xf numFmtId="0" fontId="0" fillId="2" borderId="4" applyAlignment="1" pivotButton="0" quotePrefix="0" xfId="0">
      <alignment wrapText="1"/>
    </xf>
    <xf numFmtId="2" fontId="3" fillId="2" borderId="7" applyAlignment="1" pivotButton="0" quotePrefix="0" xfId="0">
      <alignment wrapText="1"/>
    </xf>
    <xf numFmtId="0" fontId="3" fillId="2" borderId="6" applyAlignment="1" pivotButton="0" quotePrefix="0" xfId="0">
      <alignment wrapText="1"/>
    </xf>
    <xf numFmtId="0" fontId="3" fillId="2" borderId="5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wrapText="1"/>
    </xf>
    <xf numFmtId="0" fontId="0" fillId="2" borderId="2" applyAlignment="1" pivotButton="0" quotePrefix="0" xfId="0">
      <alignment wrapText="1"/>
    </xf>
    <xf numFmtId="0" fontId="0" fillId="2" borderId="13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0" fontId="0" fillId="2" borderId="3" applyAlignment="1" pivotButton="0" quotePrefix="0" xfId="0">
      <alignment wrapText="1"/>
    </xf>
    <xf numFmtId="0" fontId="4" fillId="2" borderId="13" applyAlignment="1" pivotButton="0" quotePrefix="0" xfId="0">
      <alignment wrapText="1"/>
    </xf>
    <xf numFmtId="0" fontId="3" fillId="2" borderId="0" applyAlignment="1" pivotButton="0" quotePrefix="0" xfId="0">
      <alignment wrapText="1"/>
    </xf>
    <xf numFmtId="0" fontId="3" fillId="2" borderId="4" applyAlignment="1" pivotButton="0" quotePrefix="0" xfId="0">
      <alignment wrapText="1"/>
    </xf>
    <xf numFmtId="0" fontId="5" fillId="2" borderId="4" applyAlignment="1" pivotButton="0" quotePrefix="0" xfId="0">
      <alignment wrapText="1"/>
    </xf>
    <xf numFmtId="0" fontId="8" fillId="2" borderId="0" applyAlignment="1" pivotButton="0" quotePrefix="0" xfId="0">
      <alignment wrapText="1"/>
    </xf>
    <xf numFmtId="4" fontId="0" fillId="2" borderId="4" applyAlignment="1" pivotButton="0" quotePrefix="0" xfId="0">
      <alignment wrapText="1"/>
    </xf>
    <xf numFmtId="0" fontId="14" fillId="2" borderId="4" applyAlignment="1" pivotButton="0" quotePrefix="0" xfId="2">
      <alignment horizontal="center" wrapText="1"/>
    </xf>
    <xf numFmtId="0" fontId="0" fillId="2" borderId="4" applyAlignment="1" pivotButton="0" quotePrefix="0" xfId="0">
      <alignment horizontal="right" wrapText="1"/>
    </xf>
    <xf numFmtId="0" fontId="3" fillId="2" borderId="0" pivotButton="0" quotePrefix="0" xfId="0"/>
    <xf numFmtId="0" fontId="3" fillId="2" borderId="17" applyAlignment="1" pivotButton="0" quotePrefix="0" xfId="0">
      <alignment wrapText="1"/>
    </xf>
    <xf numFmtId="0" fontId="5" fillId="2" borderId="17" applyAlignment="1" pivotButton="0" quotePrefix="0" xfId="0">
      <alignment wrapText="1"/>
    </xf>
    <xf numFmtId="0" fontId="0" fillId="2" borderId="17" applyAlignment="1" pivotButton="0" quotePrefix="0" xfId="0">
      <alignment wrapText="1"/>
    </xf>
    <xf numFmtId="4" fontId="0" fillId="2" borderId="18" applyAlignment="1" pivotButton="0" quotePrefix="0" xfId="0">
      <alignment wrapText="1"/>
    </xf>
    <xf numFmtId="0" fontId="0" fillId="2" borderId="17" applyAlignment="1" pivotButton="0" quotePrefix="0" xfId="0">
      <alignment horizontal="right" wrapText="1"/>
    </xf>
    <xf numFmtId="0" fontId="3" fillId="2" borderId="8" applyAlignment="1" pivotButton="0" quotePrefix="0" xfId="0">
      <alignment horizontal="right" wrapText="1"/>
    </xf>
    <xf numFmtId="0" fontId="3" fillId="2" borderId="9" applyAlignment="1" pivotButton="0" quotePrefix="0" xfId="0">
      <alignment horizontal="right" wrapText="1"/>
    </xf>
    <xf numFmtId="0" fontId="0" fillId="2" borderId="4" applyAlignment="1" pivotButton="0" quotePrefix="0" xfId="0">
      <alignment horizontal="center" wrapText="1"/>
    </xf>
    <xf numFmtId="0" fontId="0" fillId="2" borderId="18" applyAlignment="1" pivotButton="0" quotePrefix="0" xfId="0">
      <alignment horizontal="center" wrapText="1"/>
    </xf>
    <xf numFmtId="0" fontId="0" fillId="2" borderId="12" applyAlignment="1" pivotButton="0" quotePrefix="0" xfId="0">
      <alignment wrapText="1"/>
    </xf>
    <xf numFmtId="0" fontId="14" fillId="0" borderId="0" applyAlignment="1" pivotButton="0" quotePrefix="0" xfId="2">
      <alignment horizontal="center"/>
    </xf>
    <xf numFmtId="0" fontId="0" fillId="2" borderId="3" applyAlignment="1" pivotButton="0" quotePrefix="0" xfId="0">
      <alignment horizontal="center" vertical="top" wrapText="1"/>
    </xf>
    <xf numFmtId="4" fontId="0" fillId="2" borderId="4" applyAlignment="1" pivotButton="0" quotePrefix="0" xfId="0">
      <alignment horizontal="center" vertical="top" wrapText="1"/>
    </xf>
    <xf numFmtId="4" fontId="0" fillId="2" borderId="18" applyAlignment="1" pivotButton="0" quotePrefix="0" xfId="0">
      <alignment horizontal="center" vertical="top" wrapText="1"/>
    </xf>
    <xf numFmtId="0" fontId="0" fillId="2" borderId="13" applyAlignment="1" pivotButton="0" quotePrefix="0" xfId="0">
      <alignment horizontal="center" vertical="top" wrapText="1"/>
    </xf>
    <xf numFmtId="0" fontId="0" fillId="2" borderId="0" applyAlignment="1" pivotButton="0" quotePrefix="0" xfId="0">
      <alignment horizontal="center" vertical="top" wrapText="1"/>
    </xf>
    <xf numFmtId="0" fontId="9" fillId="2" borderId="17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9" fillId="2" borderId="4" applyAlignment="1" pivotButton="0" quotePrefix="0" xfId="0">
      <alignment horizontal="left" vertical="top" wrapText="1"/>
    </xf>
    <xf numFmtId="0" fontId="0" fillId="2" borderId="22" applyAlignment="1" pivotButton="0" quotePrefix="0" xfId="0">
      <alignment wrapText="1"/>
    </xf>
    <xf numFmtId="0" fontId="18" fillId="4" borderId="0" applyAlignment="1" pivotButton="0" quotePrefix="0" xfId="0">
      <alignment horizontal="center"/>
    </xf>
    <xf numFmtId="0" fontId="18" fillId="4" borderId="0" applyAlignment="1" pivotButton="0" quotePrefix="0" xfId="0">
      <alignment horizontal="center" vertical="center"/>
    </xf>
    <xf numFmtId="164" fontId="3" fillId="2" borderId="11" applyAlignment="1" pivotButton="0" quotePrefix="0" xfId="1">
      <alignment wrapText="1"/>
    </xf>
    <xf numFmtId="49" fontId="6" fillId="2" borderId="6" applyAlignment="1" pivotButton="0" quotePrefix="0" xfId="0">
      <alignment horizontal="center" vertical="center"/>
    </xf>
    <xf numFmtId="14" fontId="6" fillId="2" borderId="6" applyAlignment="1" pivotButton="0" quotePrefix="0" xfId="0">
      <alignment vertical="center" wrapText="1"/>
    </xf>
    <xf numFmtId="164" fontId="6" fillId="2" borderId="6" applyAlignment="1" pivotButton="0" quotePrefix="0" xfId="1">
      <alignment vertical="center" wrapText="1"/>
    </xf>
    <xf numFmtId="164" fontId="7" fillId="2" borderId="7" applyAlignment="1" pivotButton="0" quotePrefix="0" xfId="1">
      <alignment vertical="center" wrapText="1"/>
    </xf>
    <xf numFmtId="165" fontId="0" fillId="0" borderId="4" applyAlignment="1" pivotButton="0" quotePrefix="0" xfId="1">
      <alignment wrapText="1"/>
    </xf>
    <xf numFmtId="1" fontId="6" fillId="2" borderId="6" applyAlignment="1" pivotButton="0" quotePrefix="0" xfId="0">
      <alignment horizontal="center" vertical="center" wrapText="1"/>
    </xf>
    <xf numFmtId="166" fontId="0" fillId="2" borderId="0" applyAlignment="1" pivotButton="0" quotePrefix="0" xfId="0">
      <alignment wrapText="1"/>
    </xf>
    <xf numFmtId="4" fontId="0" fillId="2" borderId="0" applyAlignment="1" pivotButton="0" quotePrefix="0" xfId="0">
      <alignment wrapText="1"/>
    </xf>
    <xf numFmtId="0" fontId="0" fillId="0" borderId="5" applyAlignment="1" pivotButton="0" quotePrefix="0" xfId="0">
      <alignment horizontal="left" vertical="center" wrapText="1"/>
    </xf>
    <xf numFmtId="9" fontId="0" fillId="2" borderId="0" applyAlignment="1" pivotButton="0" quotePrefix="0" xfId="0">
      <alignment horizontal="center" wrapText="1"/>
    </xf>
    <xf numFmtId="0" fontId="0" fillId="2" borderId="0" applyAlignment="1" pivotButton="0" quotePrefix="0" xfId="0">
      <alignment horizontal="center" wrapText="1"/>
    </xf>
    <xf numFmtId="164" fontId="0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4" fontId="0" fillId="2" borderId="4" applyAlignment="1" pivotButton="0" quotePrefix="0" xfId="0">
      <alignment horizontal="right" wrapText="1"/>
    </xf>
    <xf numFmtId="4" fontId="0" fillId="0" borderId="4" applyAlignment="1" pivotButton="0" quotePrefix="0" xfId="0">
      <alignment wrapText="1"/>
    </xf>
    <xf numFmtId="4" fontId="0" fillId="0" borderId="4" applyAlignment="1" pivotButton="0" quotePrefix="0" xfId="0">
      <alignment horizontal="right" wrapText="1"/>
    </xf>
    <xf numFmtId="4" fontId="0" fillId="2" borderId="4" applyAlignment="1" pivotButton="0" quotePrefix="0" xfId="0">
      <alignment horizontal="right" vertical="top" wrapText="1"/>
    </xf>
    <xf numFmtId="166" fontId="0" fillId="2" borderId="13" applyAlignment="1" pivotButton="0" quotePrefix="0" xfId="0">
      <alignment wrapText="1"/>
    </xf>
    <xf numFmtId="0" fontId="0" fillId="5" borderId="0" pivotButton="0" quotePrefix="0" xfId="0"/>
    <xf numFmtId="0" fontId="22" fillId="5" borderId="23" applyAlignment="1" pivotButton="0" quotePrefix="0" xfId="0">
      <alignment vertical="top" wrapText="1" indent="1"/>
    </xf>
    <xf numFmtId="0" fontId="23" fillId="5" borderId="4" applyAlignment="1" pivotButton="0" quotePrefix="0" xfId="0">
      <alignment horizontal="center"/>
    </xf>
    <xf numFmtId="0" fontId="24" fillId="6" borderId="24" applyAlignment="1" pivotButton="0" quotePrefix="0" xfId="0">
      <alignment horizontal="center" vertical="top" wrapText="1"/>
    </xf>
    <xf numFmtId="0" fontId="24" fillId="6" borderId="24" applyAlignment="1" pivotButton="0" quotePrefix="0" xfId="0">
      <alignment vertical="top"/>
    </xf>
    <xf numFmtId="0" fontId="24" fillId="5" borderId="23" applyAlignment="1" pivotButton="0" quotePrefix="0" xfId="0">
      <alignment horizontal="center" vertical="top" wrapText="1"/>
    </xf>
    <xf numFmtId="0" fontId="24" fillId="5" borderId="23" applyAlignment="1" pivotButton="0" quotePrefix="0" xfId="0">
      <alignment vertical="top"/>
    </xf>
    <xf numFmtId="0" fontId="24" fillId="6" borderId="23" applyAlignment="1" pivotButton="0" quotePrefix="0" xfId="0">
      <alignment horizontal="center" vertical="top" wrapText="1"/>
    </xf>
    <xf numFmtId="0" fontId="24" fillId="6" borderId="23" applyAlignment="1" pivotButton="0" quotePrefix="0" xfId="0">
      <alignment vertical="top"/>
    </xf>
    <xf numFmtId="0" fontId="24" fillId="7" borderId="23" applyAlignment="1" pivotButton="0" quotePrefix="0" xfId="0">
      <alignment horizontal="center" vertical="top" wrapText="1"/>
    </xf>
    <xf numFmtId="0" fontId="24" fillId="7" borderId="23" applyAlignment="1" pivotButton="0" quotePrefix="0" xfId="0">
      <alignment vertical="top"/>
    </xf>
    <xf numFmtId="49" fontId="6" fillId="0" borderId="6" applyAlignment="1" pivotButton="0" quotePrefix="0" xfId="0">
      <alignment horizontal="center" vertical="center"/>
    </xf>
    <xf numFmtId="167" fontId="0" fillId="2" borderId="0" applyAlignment="1" pivotButton="0" quotePrefix="0" xfId="0">
      <alignment wrapText="1"/>
    </xf>
    <xf numFmtId="0" fontId="0" fillId="2" borderId="5" applyAlignment="1" pivotButton="0" quotePrefix="0" xfId="0">
      <alignment horizontal="left" vertical="center" wrapText="1"/>
    </xf>
    <xf numFmtId="166" fontId="0" fillId="0" borderId="0" applyAlignment="1" pivotButton="0" quotePrefix="0" xfId="0">
      <alignment wrapText="1"/>
    </xf>
    <xf numFmtId="0" fontId="9" fillId="0" borderId="17" applyAlignment="1" pivotButton="0" quotePrefix="0" xfId="0">
      <alignment horizontal="left" vertical="top" wrapText="1"/>
    </xf>
    <xf numFmtId="1" fontId="6" fillId="0" borderId="6" applyAlignment="1" pivotButton="0" quotePrefix="0" xfId="0">
      <alignment horizontal="center" vertical="center" wrapText="1"/>
    </xf>
    <xf numFmtId="164" fontId="7" fillId="0" borderId="7" applyAlignment="1" pivotButton="0" quotePrefix="0" xfId="1">
      <alignment vertical="center" wrapText="1"/>
    </xf>
    <xf numFmtId="164" fontId="6" fillId="0" borderId="6" applyAlignment="1" pivotButton="0" quotePrefix="0" xfId="1">
      <alignment vertical="center" wrapText="1"/>
    </xf>
    <xf numFmtId="4" fontId="2" fillId="0" borderId="4" applyAlignment="1" pivotButton="0" quotePrefix="0" xfId="0">
      <alignment horizontal="right" vertical="center" wrapText="1"/>
    </xf>
    <xf numFmtId="0" fontId="13" fillId="0" borderId="14" applyAlignment="1" pivotButton="0" quotePrefix="0" xfId="0">
      <alignment wrapText="1"/>
    </xf>
    <xf numFmtId="166" fontId="11" fillId="0" borderId="16" applyAlignment="1" pivotButton="0" quotePrefix="0" xfId="1">
      <alignment wrapText="1"/>
    </xf>
    <xf numFmtId="0" fontId="2" fillId="0" borderId="17" applyAlignment="1" pivotButton="0" quotePrefix="0" xfId="0">
      <alignment wrapText="1"/>
    </xf>
    <xf numFmtId="0" fontId="2" fillId="0" borderId="4" applyAlignment="1" pivotButton="0" quotePrefix="0" xfId="0">
      <alignment horizontal="center" wrapText="1"/>
    </xf>
    <xf numFmtId="0" fontId="2" fillId="0" borderId="4" applyAlignment="1" pivotButton="0" quotePrefix="0" xfId="0">
      <alignment wrapText="1"/>
    </xf>
    <xf numFmtId="0" fontId="0" fillId="0" borderId="4" pivotButton="0" quotePrefix="0" xfId="0"/>
    <xf numFmtId="0" fontId="2" fillId="0" borderId="8" applyAlignment="1" pivotButton="0" quotePrefix="0" xfId="0">
      <alignment wrapText="1"/>
    </xf>
    <xf numFmtId="0" fontId="2" fillId="0" borderId="9" applyAlignment="1" pivotButton="0" quotePrefix="0" xfId="0">
      <alignment wrapText="1"/>
    </xf>
    <xf numFmtId="49" fontId="12" fillId="0" borderId="4" applyAlignment="1" pivotButton="0" quotePrefix="1" xfId="0">
      <alignment horizontal="left" vertical="center" wrapText="1"/>
    </xf>
    <xf numFmtId="49" fontId="12" fillId="0" borderId="18" applyAlignment="1" pivotButton="0" quotePrefix="1" xfId="0">
      <alignment horizontal="left" vertical="center" wrapText="1"/>
    </xf>
    <xf numFmtId="49" fontId="12" fillId="0" borderId="9" applyAlignment="1" pivotButton="0" quotePrefix="0" xfId="0">
      <alignment horizontal="left" vertical="center" wrapText="1"/>
    </xf>
    <xf numFmtId="49" fontId="12" fillId="0" borderId="10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wrapText="1"/>
    </xf>
    <xf numFmtId="0" fontId="3" fillId="0" borderId="18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18" applyAlignment="1" pivotButton="0" quotePrefix="0" xfId="0">
      <alignment horizontal="left" wrapText="1"/>
    </xf>
    <xf numFmtId="0" fontId="4" fillId="2" borderId="14" applyAlignment="1" pivotButton="0" quotePrefix="0" xfId="0">
      <alignment horizontal="center" wrapText="1"/>
    </xf>
    <xf numFmtId="0" fontId="4" fillId="2" borderId="15" applyAlignment="1" pivotButton="0" quotePrefix="0" xfId="0">
      <alignment horizontal="center" wrapText="1"/>
    </xf>
    <xf numFmtId="0" fontId="4" fillId="2" borderId="16" applyAlignment="1" pivotButton="0" quotePrefix="0" xfId="0">
      <alignment horizontal="center" wrapText="1"/>
    </xf>
    <xf numFmtId="0" fontId="3" fillId="2" borderId="17" applyAlignment="1" pivotButton="0" quotePrefix="0" xfId="0">
      <alignment horizontal="center" wrapText="1"/>
    </xf>
    <xf numFmtId="0" fontId="3" fillId="2" borderId="4" applyAlignment="1" pivotButton="0" quotePrefix="0" xfId="0">
      <alignment horizontal="center" wrapText="1"/>
    </xf>
    <xf numFmtId="0" fontId="3" fillId="2" borderId="18" applyAlignment="1" pivotButton="0" quotePrefix="0" xfId="0">
      <alignment horizont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18" applyAlignment="1" pivotButton="0" quotePrefix="0" xfId="0">
      <alignment horizontal="center" vertical="center" wrapText="1"/>
    </xf>
    <xf numFmtId="168" fontId="2" fillId="0" borderId="19" applyAlignment="1" pivotButton="0" quotePrefix="0" xfId="0">
      <alignment horizontal="left" wrapText="1"/>
    </xf>
    <xf numFmtId="168" fontId="2" fillId="0" borderId="20" applyAlignment="1" pivotButton="0" quotePrefix="0" xfId="0">
      <alignment horizontal="left" wrapText="1"/>
    </xf>
    <xf numFmtId="168" fontId="2" fillId="0" borderId="21" applyAlignment="1" pivotButton="0" quotePrefix="0" xfId="0">
      <alignment horizontal="left" wrapText="1"/>
    </xf>
    <xf numFmtId="0" fontId="4" fillId="2" borderId="19" applyAlignment="1" pivotButton="0" quotePrefix="0" xfId="0">
      <alignment horizontal="center" wrapText="1"/>
    </xf>
    <xf numFmtId="0" fontId="4" fillId="2" borderId="20" applyAlignment="1" pivotButton="0" quotePrefix="0" xfId="0">
      <alignment horizontal="center" wrapText="1"/>
    </xf>
    <xf numFmtId="0" fontId="4" fillId="2" borderId="21" applyAlignment="1" pivotButton="0" quotePrefix="0" xfId="0">
      <alignment horizontal="center" wrapText="1"/>
    </xf>
    <xf numFmtId="49" fontId="21" fillId="0" borderId="4" applyAlignment="1" pivotButton="0" quotePrefix="0" xfId="0">
      <alignment horizontal="left" vertical="center" wrapText="1"/>
    </xf>
    <xf numFmtId="49" fontId="21" fillId="0" borderId="18" applyAlignment="1" pivotButton="0" quotePrefix="0" xfId="0">
      <alignment horizontal="left" vertical="center" wrapText="1"/>
    </xf>
    <xf numFmtId="166" fontId="3" fillId="2" borderId="9" applyAlignment="1" pivotButton="0" quotePrefix="0" xfId="1">
      <alignment horizontal="center" wrapText="1"/>
    </xf>
    <xf numFmtId="166" fontId="3" fillId="2" borderId="10" applyAlignment="1" pivotButton="0" quotePrefix="0" xfId="1">
      <alignment horizontal="center" wrapText="1"/>
    </xf>
    <xf numFmtId="0" fontId="11" fillId="0" borderId="15" applyAlignment="1" pivotButton="0" quotePrefix="0" xfId="0">
      <alignment horizontal="center" wrapText="1"/>
    </xf>
    <xf numFmtId="0" fontId="0" fillId="2" borderId="19" applyAlignment="1" pivotButton="0" quotePrefix="0" xfId="0">
      <alignment horizontal="center" wrapText="1"/>
    </xf>
    <xf numFmtId="0" fontId="0" fillId="2" borderId="20" applyAlignment="1" pivotButton="0" quotePrefix="0" xfId="0">
      <alignment horizontal="center" wrapText="1"/>
    </xf>
    <xf numFmtId="0" fontId="0" fillId="2" borderId="21" applyAlignment="1" pivotButton="0" quotePrefix="0" xfId="0">
      <alignment horizontal="center" wrapText="1"/>
    </xf>
    <xf numFmtId="0" fontId="15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  <xf numFmtId="0" fontId="0" fillId="0" borderId="31" pivotButton="0" quotePrefix="0" xfId="0"/>
    <xf numFmtId="0" fontId="0" fillId="0" borderId="32" pivotButton="0" quotePrefix="0" xfId="0"/>
    <xf numFmtId="167" fontId="0" fillId="2" borderId="0" applyAlignment="1" pivotButton="0" quotePrefix="0" xfId="0">
      <alignment wrapText="1"/>
    </xf>
    <xf numFmtId="0" fontId="0" fillId="0" borderId="20" pivotButton="0" quotePrefix="0" xfId="0"/>
    <xf numFmtId="0" fontId="0" fillId="0" borderId="27" pivotButton="0" quotePrefix="0" xfId="0"/>
    <xf numFmtId="0" fontId="4" fillId="2" borderId="18" applyAlignment="1" pivotButton="0" quotePrefix="0" xfId="0">
      <alignment horizontal="center" wrapText="1"/>
    </xf>
    <xf numFmtId="0" fontId="0" fillId="0" borderId="21" pivotButton="0" quotePrefix="0" xfId="0"/>
    <xf numFmtId="168" fontId="2" fillId="0" borderId="18" applyAlignment="1" pivotButton="0" quotePrefix="0" xfId="0">
      <alignment horizontal="left" wrapText="1"/>
    </xf>
    <xf numFmtId="165" fontId="0" fillId="0" borderId="4" applyAlignment="1" pivotButton="0" quotePrefix="0" xfId="1">
      <alignment wrapText="1"/>
    </xf>
    <xf numFmtId="166" fontId="0" fillId="2" borderId="0" applyAlignment="1" pivotButton="0" quotePrefix="0" xfId="0">
      <alignment wrapText="1"/>
    </xf>
    <xf numFmtId="166" fontId="3" fillId="2" borderId="9" applyAlignment="1" pivotButton="0" quotePrefix="0" xfId="1">
      <alignment horizontal="center" wrapText="1"/>
    </xf>
    <xf numFmtId="0" fontId="0" fillId="0" borderId="28" pivotButton="0" quotePrefix="0" xfId="0"/>
    <xf numFmtId="0" fontId="0" fillId="0" borderId="29" pivotButton="0" quotePrefix="0" xfId="0"/>
    <xf numFmtId="166" fontId="11" fillId="0" borderId="16" applyAlignment="1" pivotButton="0" quotePrefix="0" xfId="1">
      <alignment wrapText="1"/>
    </xf>
    <xf numFmtId="166" fontId="0" fillId="2" borderId="13" applyAlignment="1" pivotButton="0" quotePrefix="0" xfId="0">
      <alignment wrapText="1"/>
    </xf>
    <xf numFmtId="166" fontId="0" fillId="0" borderId="0" applyAlignment="1" pivotButton="0" quotePrefix="0" xfId="0">
      <alignment wrapText="1"/>
    </xf>
  </cellXfs>
  <cellStyles count="12">
    <cellStyle name="Normal" xfId="0" builtinId="0"/>
    <cellStyle name="Moeda" xfId="1" builtinId="4"/>
    <cellStyle name="Hiperlink" xfId="2" builtinId="8"/>
    <cellStyle name="Comma 2" xfId="3"/>
    <cellStyle name="Normal 3" xfId="4"/>
    <cellStyle name="Normal 4" xfId="5"/>
    <cellStyle name="Normal 6" xfId="6"/>
    <cellStyle name="Normal 7" xfId="7"/>
    <cellStyle name="Normal 6 2" xfId="8"/>
    <cellStyle name="Normal 7 2" xfId="9"/>
    <cellStyle name="Normal 2" xfId="10"/>
    <cellStyle name="Percent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331693</colOff>
      <row>0</row>
      <rowOff>107576</rowOff>
    </from>
    <to>
      <col>6</col>
      <colOff>449306</colOff>
      <row>12</row>
      <rowOff>147103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31693" y="107576"/>
          <a:ext cx="3667637" cy="219105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file:///M:\APWireless_US\ID2\1B68189A-DC33-406D-A520-DDB2F3B3E360\0\512000-512999\AppData\Local\Microsoft\Windows\eliuzzi\AppData\Local\Microsoft\Windows\2.1%20-%20Planilha%20Custos\Closing%20Cost%20Tracker_Port.xlsx" TargetMode="External" Id="rId1"/><Relationship Type="http://schemas.openxmlformats.org/officeDocument/2006/relationships/hyperlink" Target="file:///M:\APWireless_US\ID2\1B68189A-DC33-406D-A520-DDB2F3B3E360\0\512000-512999\AppData\Local\Microsoft\Windows\eliuzzi\AppData\Local\Microsoft\Windows\2.1%20-%20Planilha%20Custos\Closing%20Cost%20Tracker_Port.xlsx" TargetMode="External" Id="rId2"/><Relationship Type="http://schemas.openxmlformats.org/officeDocument/2006/relationships/hyperlink" Target="file:///M:\APWireless_US\ID2\1B68189A-DC33-406D-A520-DDB2F3B3E360\0\512000-512999\AppData\Local\Microsoft\Windows\eliuzzi\AppData\Local\Microsoft\Windows\INetCache\Tabelas%20de%20Emolumentos\2017" TargetMode="External" Id="rId3"/><Relationship Type="http://schemas.openxmlformats.org/officeDocument/2006/relationships/hyperlink" Target="file:///M:\APWireless_US\ID2\1B68189A-DC33-406D-A520-DDB2F3B3E360\0\512000-512999\AppData\Local\Microsoft\Windows\eliuzzi\AppData\APW-Dilig&#234;ncia%20T&#233;cnica%20(Site%20Inspection)\Site%20Inspection%20-%20Solicitadas%20e%20Realizadas.xlsx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tabSelected="1" zoomScale="85" zoomScaleNormal="85" workbookViewId="0">
      <selection activeCell="B2" sqref="B2:G2"/>
    </sheetView>
  </sheetViews>
  <sheetFormatPr baseColWidth="8" defaultColWidth="9.33203125" defaultRowHeight="14.4"/>
  <cols>
    <col width="4" customWidth="1" style="11" min="1" max="1"/>
    <col width="52.33203125" bestFit="1" customWidth="1" style="11" min="2" max="2"/>
    <col width="16.44140625" customWidth="1" style="11" min="3" max="3"/>
    <col width="20.33203125" customWidth="1" style="11" min="4" max="4"/>
    <col width="11.6640625" customWidth="1" style="11" min="5" max="5"/>
    <col width="20.5546875" customWidth="1" style="11" min="6" max="6"/>
    <col width="27.44140625" customWidth="1" style="11" min="7" max="7"/>
    <col width="13.6640625" bestFit="1" customWidth="1" style="11" min="8" max="8"/>
    <col width="14.6640625" bestFit="1" customWidth="1" style="11" min="9" max="9"/>
    <col width="42.44140625" bestFit="1" customWidth="1" style="11" min="10" max="10"/>
    <col width="15.5546875" customWidth="1" style="11" min="11" max="12"/>
    <col width="12.44140625" customWidth="1" style="11" min="13" max="13"/>
    <col width="14.5546875" customWidth="1" style="11" min="14" max="14"/>
    <col width="13.5546875" customWidth="1" style="11" min="15" max="15"/>
    <col width="23.44140625" customWidth="1" style="11" min="16" max="16"/>
    <col width="10.44140625" bestFit="1" customWidth="1" style="56" min="17" max="17"/>
    <col width="24.33203125" bestFit="1" customWidth="1" style="11" min="18" max="18"/>
    <col width="9.33203125" customWidth="1" style="11" min="19" max="16384"/>
  </cols>
  <sheetData>
    <row r="1" ht="15" customHeight="1" thickBot="1">
      <c r="A1" s="8" t="n"/>
      <c r="B1" s="9" t="n"/>
      <c r="C1" s="9" t="n"/>
      <c r="D1" s="9" t="n"/>
      <c r="E1" s="9" t="n"/>
      <c r="F1" s="9" t="n"/>
      <c r="G1" s="9" t="n"/>
      <c r="H1" s="10" t="n"/>
    </row>
    <row r="2" ht="54.75" customHeight="1">
      <c r="A2" s="12" t="n"/>
      <c r="B2" s="100" t="inlineStr">
        <is>
          <t xml:space="preserve">COMPLETION STATEMENT </t>
        </is>
      </c>
      <c r="C2" s="124" t="n"/>
      <c r="D2" s="124" t="n"/>
      <c r="E2" s="124" t="n"/>
      <c r="F2" s="124" t="n"/>
      <c r="G2" s="125" t="n"/>
      <c r="H2" s="13" t="n"/>
      <c r="J2" s="21" t="inlineStr">
        <is>
          <t>Apportionments/Pro-rations</t>
        </is>
      </c>
      <c r="K2" s="14" t="n"/>
      <c r="L2" s="14" t="n"/>
      <c r="O2" s="126" t="n"/>
    </row>
    <row r="3" ht="15" customHeight="1" thickBot="1">
      <c r="A3" s="12" t="n"/>
      <c r="B3" s="103" t="inlineStr">
        <is>
          <t>AP WIRELESS BRASIL INVESTIMENTOS IMOBILIÁRIOS LTDA.</t>
        </is>
      </c>
      <c r="C3" s="127" t="n"/>
      <c r="D3" s="127" t="n"/>
      <c r="E3" s="127" t="n"/>
      <c r="F3" s="127" t="n"/>
      <c r="G3" s="128" t="n"/>
      <c r="H3" s="10" t="n"/>
      <c r="O3" s="55" t="n"/>
      <c r="Q3" s="55" t="n"/>
    </row>
    <row r="4" ht="30.45" customHeight="1" thickBot="1">
      <c r="A4" s="12" t="n"/>
      <c r="B4" s="22" t="inlineStr">
        <is>
          <t>PURCHASE OF:</t>
        </is>
      </c>
      <c r="C4" s="129" t="n"/>
      <c r="D4" s="127" t="n"/>
      <c r="E4" s="127" t="n"/>
      <c r="F4" s="127" t="n"/>
      <c r="G4" s="130" t="n"/>
      <c r="H4" s="10" t="n"/>
      <c r="J4" s="4" t="inlineStr">
        <is>
          <t>Tenant</t>
        </is>
      </c>
      <c r="K4" s="3" t="inlineStr">
        <is>
          <t>Rent Due (Month of Reference)</t>
        </is>
      </c>
      <c r="L4" s="3" t="inlineStr">
        <is>
          <t>Due Month</t>
        </is>
      </c>
      <c r="M4" s="3" t="inlineStr">
        <is>
          <t>Deal Completion</t>
        </is>
      </c>
      <c r="N4" s="3" t="inlineStr">
        <is>
          <t>Months</t>
        </is>
      </c>
      <c r="O4" s="3" t="inlineStr">
        <is>
          <t>Rent Per Month</t>
        </is>
      </c>
      <c r="P4" s="2" t="inlineStr">
        <is>
          <t>Apportionment Due</t>
        </is>
      </c>
    </row>
    <row r="5" ht="33" customHeight="1" thickBot="1">
      <c r="A5" s="12" t="n"/>
      <c r="B5" s="23" t="inlineStr">
        <is>
          <t>CARRIER</t>
        </is>
      </c>
      <c r="C5" s="16" t="n"/>
      <c r="D5" s="106" t="n"/>
      <c r="E5" s="127" t="n"/>
      <c r="F5" s="127" t="n"/>
      <c r="G5" s="128" t="n"/>
      <c r="H5" s="10" t="n"/>
      <c r="J5" s="77" t="n"/>
      <c r="K5" s="75" t="n"/>
      <c r="L5" s="75" t="n"/>
      <c r="M5" s="75" t="n"/>
      <c r="N5" s="80" t="n"/>
      <c r="O5" s="82" t="n"/>
      <c r="P5" s="81">
        <f>O5*N5</f>
        <v/>
      </c>
      <c r="Q5" s="57" t="n"/>
      <c r="R5" s="58" t="n"/>
    </row>
    <row r="6" ht="39" customHeight="1" thickBot="1">
      <c r="A6" s="12" t="n"/>
      <c r="B6" s="22" t="inlineStr">
        <is>
          <t>PROPOSED COMPLETION DATE:</t>
        </is>
      </c>
      <c r="C6" s="15" t="n"/>
      <c r="D6" s="131" t="n"/>
      <c r="E6" s="127" t="n"/>
      <c r="F6" s="127" t="n"/>
      <c r="G6" s="130" t="n"/>
      <c r="H6" s="10" t="n"/>
      <c r="J6" s="54" t="n"/>
      <c r="K6" s="75" t="n"/>
      <c r="L6" s="75" t="n"/>
      <c r="M6" s="75" t="n"/>
      <c r="N6" s="51" t="n"/>
      <c r="O6" s="48" t="n"/>
      <c r="P6" s="49" t="n"/>
      <c r="Q6" s="57" t="n"/>
      <c r="R6" s="58" t="n"/>
    </row>
    <row r="7" ht="21" customHeight="1" thickBot="1">
      <c r="A7" s="12" t="n"/>
      <c r="B7" s="22" t="inlineStr">
        <is>
          <t>LANDLORD:</t>
        </is>
      </c>
      <c r="C7" s="15" t="n"/>
      <c r="D7" s="106" t="n"/>
      <c r="E7" s="127" t="n"/>
      <c r="F7" s="127" t="n"/>
      <c r="G7" s="128" t="n"/>
      <c r="H7" s="10" t="n"/>
      <c r="J7" s="54" t="n"/>
      <c r="K7" s="46" t="n"/>
      <c r="L7" s="46" t="n"/>
      <c r="M7" s="47" t="n"/>
      <c r="N7" s="51" t="n"/>
      <c r="O7" s="48" t="n"/>
      <c r="P7" s="49" t="n"/>
      <c r="Q7" s="57" t="n"/>
      <c r="R7" s="58" t="n"/>
    </row>
    <row r="8" ht="15" customHeight="1" thickBot="1">
      <c r="A8" s="12" t="n"/>
      <c r="B8" s="22" t="inlineStr">
        <is>
          <t>PURCHASING ENTITY</t>
        </is>
      </c>
      <c r="C8" s="15" t="n"/>
      <c r="D8" s="30" t="inlineStr">
        <is>
          <t>AP Wireless Brasil Investimentos Imobiliario</t>
        </is>
      </c>
      <c r="E8" s="127" t="n"/>
      <c r="F8" s="127" t="n"/>
      <c r="G8" s="130" t="n"/>
      <c r="H8" s="10" t="n"/>
      <c r="J8" s="54" t="n"/>
      <c r="K8" s="46" t="n"/>
      <c r="L8" s="46" t="n"/>
      <c r="M8" s="47" t="n"/>
      <c r="N8" s="51" t="n"/>
      <c r="O8" s="48" t="n"/>
      <c r="P8" s="49" t="n"/>
      <c r="Q8" s="57" t="n"/>
      <c r="R8" s="58" t="n"/>
    </row>
    <row r="9" ht="32.25" customHeight="1" thickBot="1">
      <c r="A9" s="12" t="n"/>
      <c r="B9" s="22" t="inlineStr">
        <is>
          <t>ITEMS:</t>
        </is>
      </c>
      <c r="C9" s="15" t="inlineStr">
        <is>
          <t>Source/Fonte</t>
        </is>
      </c>
      <c r="D9" s="29" t="inlineStr">
        <is>
          <t>Deduct</t>
        </is>
      </c>
      <c r="E9" s="29" t="inlineStr">
        <is>
          <t>Deduct (VAT)</t>
        </is>
      </c>
      <c r="F9" s="29" t="inlineStr">
        <is>
          <t>Add</t>
        </is>
      </c>
      <c r="G9" s="30" t="inlineStr">
        <is>
          <t>ADD (VAT)</t>
        </is>
      </c>
      <c r="H9" s="10" t="n"/>
      <c r="J9" s="54" t="n"/>
      <c r="K9" s="46" t="n"/>
      <c r="L9" s="46" t="n"/>
      <c r="M9" s="47" t="n"/>
      <c r="N9" s="51" t="n"/>
      <c r="O9" s="48" t="n"/>
      <c r="P9" s="49" t="n"/>
      <c r="Q9" s="57" t="n"/>
      <c r="R9" s="58" t="n"/>
    </row>
    <row r="10" ht="15" customHeight="1" thickBot="1">
      <c r="A10" s="12" t="n"/>
      <c r="B10" s="22" t="n"/>
      <c r="C10" s="15" t="n"/>
      <c r="D10" s="29" t="inlineStr">
        <is>
          <t>R$</t>
        </is>
      </c>
      <c r="E10" s="29" t="inlineStr">
        <is>
          <t>R$</t>
        </is>
      </c>
      <c r="F10" s="29" t="inlineStr">
        <is>
          <t>R$</t>
        </is>
      </c>
      <c r="G10" s="30" t="inlineStr">
        <is>
          <t>R$</t>
        </is>
      </c>
      <c r="H10" s="10" t="n"/>
      <c r="J10" s="54" t="n"/>
      <c r="K10" s="46" t="n"/>
      <c r="L10" s="46" t="n"/>
      <c r="M10" s="47" t="n"/>
      <c r="N10" s="51" t="n"/>
      <c r="O10" s="48" t="n"/>
      <c r="P10" s="49" t="n"/>
      <c r="Q10" s="57" t="n"/>
      <c r="R10" s="58" t="n"/>
    </row>
    <row r="11" ht="29.25" customHeight="1" thickBot="1">
      <c r="A11" s="12" t="n"/>
      <c r="B11" s="24" t="inlineStr">
        <is>
          <t xml:space="preserve">Purchase Price / Valor Investimento </t>
        </is>
      </c>
      <c r="C11" s="1" t="inlineStr">
        <is>
          <t>Lease M-files</t>
        </is>
      </c>
      <c r="D11" s="59" t="n"/>
      <c r="E11" s="18" t="n"/>
      <c r="F11" s="132" t="n"/>
      <c r="G11" s="31" t="n"/>
      <c r="H11" s="10" t="n"/>
      <c r="I11" s="133" t="n"/>
      <c r="J11" s="54" t="n"/>
      <c r="K11" s="46" t="n"/>
      <c r="L11" s="46" t="n"/>
      <c r="M11" s="47" t="n"/>
      <c r="N11" s="51" t="n"/>
      <c r="O11" s="48" t="n"/>
      <c r="P11" s="49" t="n"/>
      <c r="Q11" s="57" t="n"/>
      <c r="R11" s="58" t="n"/>
    </row>
    <row r="12" ht="34.95" customHeight="1" thickBot="1">
      <c r="A12" s="12" t="n"/>
      <c r="B12" s="79" t="inlineStr">
        <is>
          <t>Rent Apportionments</t>
        </is>
      </c>
      <c r="C12" s="41" t="inlineStr">
        <is>
          <t>Lease M-files</t>
        </is>
      </c>
      <c r="D12" s="83" t="n"/>
      <c r="E12" s="34" t="n"/>
      <c r="F12" s="62" t="n"/>
      <c r="G12" s="35" t="n"/>
      <c r="H12" s="10" t="n"/>
      <c r="J12" s="54" t="n"/>
      <c r="K12" s="46" t="n"/>
      <c r="L12" s="46" t="n"/>
      <c r="M12" s="47" t="n"/>
      <c r="N12" s="51" t="n"/>
      <c r="O12" s="48" t="n"/>
      <c r="P12" s="49" t="n"/>
      <c r="Q12" s="57" t="n"/>
      <c r="R12" s="58" t="n"/>
    </row>
    <row r="13" ht="15" customHeight="1" thickBot="1">
      <c r="A13" s="12" t="n"/>
      <c r="B13" s="38" t="inlineStr">
        <is>
          <t>Intermediary / Broker Fee</t>
        </is>
      </c>
      <c r="C13" s="41" t="n"/>
      <c r="D13" s="61" t="n"/>
      <c r="E13" s="34" t="n"/>
      <c r="F13" s="60" t="n"/>
      <c r="G13" s="35" t="n"/>
      <c r="H13" s="10" t="n"/>
      <c r="J13" s="54" t="n"/>
      <c r="K13" s="46" t="n"/>
      <c r="L13" s="46" t="n"/>
      <c r="M13" s="47" t="n"/>
      <c r="N13" s="51" t="n"/>
      <c r="O13" s="48" t="n"/>
      <c r="P13" s="49" t="n"/>
      <c r="Q13" s="57" t="n"/>
      <c r="R13" s="58" t="n"/>
    </row>
    <row r="14" ht="29.1" customHeight="1" thickBot="1">
      <c r="A14" s="12" t="n"/>
      <c r="B14" s="24" t="inlineStr">
        <is>
          <t>Title Search Charges/Certidões/Documentos/Correio</t>
        </is>
      </c>
      <c r="C14" s="19" t="inlineStr">
        <is>
          <t>link</t>
        </is>
      </c>
      <c r="D14" s="60">
        <f>-F14</f>
        <v/>
      </c>
      <c r="E14" s="1" t="n"/>
      <c r="F14" s="60" t="n"/>
      <c r="G14" s="25" t="n"/>
      <c r="H14" s="10" t="n"/>
      <c r="J14" s="54" t="n"/>
      <c r="K14" s="46" t="n"/>
      <c r="L14" s="46" t="n"/>
      <c r="M14" s="47" t="n"/>
      <c r="N14" s="51" t="n"/>
      <c r="O14" s="48" t="n"/>
      <c r="P14" s="49" t="n"/>
      <c r="Q14" s="57" t="n"/>
      <c r="R14" s="58" t="n"/>
    </row>
    <row r="15" ht="36.75" customHeight="1" thickBot="1">
      <c r="A15" s="12" t="n"/>
      <c r="B15" s="24" t="inlineStr">
        <is>
          <t>Local Notary Fees/ Despesas com Cartório (s)</t>
        </is>
      </c>
      <c r="C15" s="19" t="inlineStr">
        <is>
          <t>Link</t>
        </is>
      </c>
      <c r="D15" s="61">
        <f>-F15</f>
        <v/>
      </c>
      <c r="E15" s="1" t="n"/>
      <c r="F15" s="60" t="n"/>
      <c r="G15" s="25" t="n"/>
      <c r="H15" s="10" t="n"/>
      <c r="J15" s="54" t="n"/>
      <c r="K15" s="46" t="n"/>
      <c r="L15" s="46" t="n"/>
      <c r="M15" s="47" t="n"/>
      <c r="N15" s="51" t="n"/>
      <c r="O15" s="48" t="n"/>
      <c r="P15" s="49" t="n"/>
      <c r="Q15" s="57" t="n"/>
      <c r="R15" s="58" t="n"/>
      <c r="S15" s="17" t="n"/>
      <c r="T15" s="17" t="n"/>
      <c r="U15" s="17" t="n"/>
      <c r="V15" s="17" t="n"/>
    </row>
    <row r="16" ht="15" customHeight="1" thickBot="1">
      <c r="A16" s="12" t="n"/>
      <c r="B16" s="24" t="inlineStr">
        <is>
          <t>Recording Fees/ Custo de Registro</t>
        </is>
      </c>
      <c r="C16" s="32" t="inlineStr">
        <is>
          <t>Link</t>
        </is>
      </c>
      <c r="D16" s="61">
        <f>-F16</f>
        <v/>
      </c>
      <c r="E16" s="18" t="n"/>
      <c r="F16" s="60" t="n"/>
      <c r="G16" s="25" t="n"/>
      <c r="H16" s="36" t="n"/>
      <c r="J16" s="54" t="n"/>
      <c r="K16" s="46" t="n"/>
      <c r="L16" s="46" t="n"/>
      <c r="M16" s="47" t="n"/>
      <c r="N16" s="51" t="n"/>
      <c r="O16" s="48" t="n"/>
      <c r="P16" s="49" t="n"/>
      <c r="Q16" s="57" t="n"/>
      <c r="R16" s="58" t="n"/>
    </row>
    <row r="17" ht="17.25" customFormat="1" customHeight="1" s="37" thickBot="1">
      <c r="A17" s="33" t="n"/>
      <c r="B17" s="24" t="inlineStr">
        <is>
          <t>Legal Fees</t>
        </is>
      </c>
      <c r="C17" s="29" t="inlineStr">
        <is>
          <t>Fixed Amount</t>
        </is>
      </c>
      <c r="D17" s="61">
        <f>-F17</f>
        <v/>
      </c>
      <c r="E17" s="18" t="n"/>
      <c r="F17" s="60" t="n"/>
      <c r="G17" s="25" t="n"/>
      <c r="H17" s="10" t="n"/>
      <c r="J17" s="54" t="n"/>
      <c r="K17" s="46" t="n"/>
      <c r="L17" s="46" t="n"/>
      <c r="M17" s="47" t="n"/>
      <c r="N17" s="51" t="n"/>
      <c r="O17" s="48" t="n"/>
      <c r="P17" s="49" t="n"/>
      <c r="Q17" s="57" t="n"/>
      <c r="R17" s="58" t="n"/>
    </row>
    <row r="18" ht="15" customHeight="1" thickBot="1">
      <c r="A18" s="12" t="n"/>
      <c r="B18" s="24" t="inlineStr">
        <is>
          <t xml:space="preserve">Site Owner Legal Fee/ Auxílio Advogado </t>
        </is>
      </c>
      <c r="C18" s="29" t="inlineStr">
        <is>
          <t>Director</t>
        </is>
      </c>
      <c r="D18" s="61" t="n"/>
      <c r="E18" s="18" t="n"/>
      <c r="F18" s="60" t="n"/>
      <c r="G18" s="25" t="n"/>
      <c r="H18" s="10" t="n"/>
      <c r="J18" s="54" t="n"/>
      <c r="K18" s="46" t="n"/>
      <c r="L18" s="46" t="n"/>
      <c r="M18" s="47" t="n"/>
      <c r="N18" s="51" t="n"/>
      <c r="O18" s="48">
        <f>SUM(O5:O17)</f>
        <v/>
      </c>
      <c r="P18" s="49" t="n"/>
    </row>
    <row r="19" ht="15" customHeight="1" thickBot="1">
      <c r="A19" s="12" t="n"/>
      <c r="B19" s="24" t="inlineStr">
        <is>
          <t>Site Inspection</t>
        </is>
      </c>
      <c r="C19" s="19" t="inlineStr">
        <is>
          <t>Link</t>
        </is>
      </c>
      <c r="D19" s="61">
        <f>-F19</f>
        <v/>
      </c>
      <c r="E19" s="18" t="n"/>
      <c r="F19" s="60" t="n"/>
      <c r="G19" s="25" t="n"/>
      <c r="H19" s="10" t="n"/>
      <c r="L19" s="53" t="n"/>
      <c r="O19" s="42" t="inlineStr">
        <is>
          <t>TOTAL</t>
        </is>
      </c>
      <c r="P19" s="45">
        <f>SUM(P5:P18)</f>
        <v/>
      </c>
    </row>
    <row r="20">
      <c r="A20" s="12" t="n"/>
      <c r="B20" s="24" t="inlineStr">
        <is>
          <t>(-) Installments</t>
        </is>
      </c>
      <c r="C20" s="19" t="n"/>
      <c r="D20" s="59" t="n"/>
      <c r="E20" s="18" t="n"/>
      <c r="F20" s="18" t="n"/>
      <c r="G20" s="25" t="n"/>
      <c r="H20" s="10" t="n"/>
      <c r="L20" s="53" t="n"/>
    </row>
    <row r="21">
      <c r="A21" s="12" t="n"/>
      <c r="B21" s="26" t="inlineStr">
        <is>
          <t>Sub-total</t>
        </is>
      </c>
      <c r="C21" s="20" t="n"/>
      <c r="D21" s="59" t="n"/>
      <c r="E21" s="59" t="n"/>
      <c r="F21" s="59" t="n"/>
      <c r="G21" s="59" t="n"/>
      <c r="H21" s="10" t="n"/>
      <c r="J21" s="133" t="n"/>
      <c r="L21" s="53" t="n"/>
    </row>
    <row r="22" ht="15" customHeight="1" thickBot="1">
      <c r="A22" s="12" t="n"/>
      <c r="B22" s="27" t="inlineStr">
        <is>
          <t>BALANCE DUE:</t>
        </is>
      </c>
      <c r="C22" s="28" t="n"/>
      <c r="D22" s="134" t="n"/>
      <c r="E22" s="135" t="n"/>
      <c r="F22" s="135" t="n"/>
      <c r="G22" s="136" t="n"/>
      <c r="H22" s="10" t="n"/>
      <c r="L22" s="53" t="n"/>
    </row>
    <row r="23" ht="15" customHeight="1" thickBot="1">
      <c r="A23" s="12" t="n"/>
      <c r="H23" s="10" t="n"/>
      <c r="J23" s="133" t="n"/>
      <c r="L23" s="53" t="n"/>
    </row>
    <row r="24">
      <c r="B24" s="84" t="inlineStr">
        <is>
          <t>Total Amount due to Landlord at closing</t>
        </is>
      </c>
      <c r="C24" s="118" t="n"/>
      <c r="D24" s="124" t="n"/>
      <c r="E24" s="124" t="n"/>
      <c r="F24" s="125" t="n"/>
      <c r="G24" s="137" t="n"/>
      <c r="H24" s="138" t="n"/>
      <c r="J24" s="139" t="n"/>
      <c r="K24" s="133" t="n"/>
    </row>
    <row r="25">
      <c r="B25" s="86" t="inlineStr">
        <is>
          <t>Landlord Bank Details:</t>
        </is>
      </c>
      <c r="C25" s="87" t="n"/>
      <c r="D25" s="114" t="n"/>
      <c r="E25" s="127" t="n"/>
      <c r="F25" s="127" t="n"/>
      <c r="G25" s="128" t="n"/>
      <c r="J25" s="133" t="n"/>
    </row>
    <row r="26">
      <c r="B26" s="86" t="inlineStr">
        <is>
          <t>Beneficiary:</t>
        </is>
      </c>
      <c r="C26" s="88" t="n"/>
      <c r="D26" s="96" t="n"/>
      <c r="E26" s="127" t="n"/>
      <c r="F26" s="127" t="n"/>
      <c r="G26" s="128" t="n"/>
    </row>
    <row r="27">
      <c r="B27" s="86" t="inlineStr">
        <is>
          <t>Bank:</t>
        </is>
      </c>
      <c r="C27" s="89" t="n"/>
      <c r="D27" s="98" t="n"/>
      <c r="E27" s="127" t="n"/>
      <c r="F27" s="127" t="n"/>
      <c r="G27" s="128" t="n"/>
      <c r="J27" s="133" t="n"/>
    </row>
    <row r="28">
      <c r="B28" s="86" t="inlineStr">
        <is>
          <t>Bank Code:</t>
        </is>
      </c>
      <c r="C28" s="88" t="n"/>
      <c r="D28" s="98" t="n"/>
      <c r="E28" s="127" t="n"/>
      <c r="F28" s="127" t="n"/>
      <c r="G28" s="128" t="n"/>
      <c r="J28" s="133" t="n"/>
    </row>
    <row r="29">
      <c r="B29" s="86" t="inlineStr">
        <is>
          <t>Account:</t>
        </is>
      </c>
      <c r="C29" s="88" t="n"/>
      <c r="D29" s="92" t="n"/>
      <c r="E29" s="127" t="n"/>
      <c r="F29" s="127" t="n"/>
      <c r="G29" s="128" t="n"/>
    </row>
    <row r="30">
      <c r="B30" s="86" t="inlineStr">
        <is>
          <t>Branch:</t>
        </is>
      </c>
      <c r="C30" s="88" t="n"/>
      <c r="D30" s="92" t="n"/>
      <c r="E30" s="127" t="n"/>
      <c r="F30" s="127" t="n"/>
      <c r="G30" s="128" t="n"/>
    </row>
    <row r="31" ht="14.4" customHeight="1" thickBot="1">
      <c r="B31" s="90" t="inlineStr">
        <is>
          <t>Tax ID:</t>
        </is>
      </c>
      <c r="C31" s="91" t="n"/>
      <c r="D31" s="94" t="n"/>
      <c r="E31" s="135" t="n"/>
      <c r="F31" s="135" t="n"/>
      <c r="G31" s="136" t="n"/>
    </row>
  </sheetData>
  <mergeCells count="16">
    <mergeCell ref="D22:G22"/>
    <mergeCell ref="B2:G2"/>
    <mergeCell ref="B3:G3"/>
    <mergeCell ref="C4:G4"/>
    <mergeCell ref="D31:G31"/>
    <mergeCell ref="D26:G26"/>
    <mergeCell ref="D25:G25"/>
    <mergeCell ref="D8:G8"/>
    <mergeCell ref="D6:G6"/>
    <mergeCell ref="D7:G7"/>
    <mergeCell ref="D30:G30"/>
    <mergeCell ref="D29:G29"/>
    <mergeCell ref="D27:G27"/>
    <mergeCell ref="D5:G5"/>
    <mergeCell ref="C24:F24"/>
    <mergeCell ref="D28:G28"/>
  </mergeCells>
  <hyperlinks>
    <hyperlink xmlns:r="http://schemas.openxmlformats.org/officeDocument/2006/relationships" ref="C14" r:id="rId1"/>
    <hyperlink xmlns:r="http://schemas.openxmlformats.org/officeDocument/2006/relationships" ref="C15" r:id="rId2"/>
    <hyperlink xmlns:r="http://schemas.openxmlformats.org/officeDocument/2006/relationships" ref="C16" r:id="rId3"/>
    <hyperlink xmlns:r="http://schemas.openxmlformats.org/officeDocument/2006/relationships" ref="C19" r:id="rId4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5" zoomScaleNormal="85" workbookViewId="0">
      <selection activeCell="D17" sqref="D17"/>
    </sheetView>
  </sheetViews>
  <sheetFormatPr baseColWidth="8" defaultColWidth="8.6640625" defaultRowHeight="14.4"/>
  <sheetData/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1" sqref="A11"/>
    </sheetView>
  </sheetViews>
  <sheetFormatPr baseColWidth="8" defaultRowHeight="14.4"/>
  <cols>
    <col width="59" customWidth="1" min="1" max="1"/>
    <col width="56.33203125" customWidth="1" style="40" min="2" max="2"/>
    <col width="51.5546875" customWidth="1" min="3" max="3"/>
  </cols>
  <sheetData>
    <row r="1" ht="21" customHeight="1">
      <c r="A1" s="122" t="inlineStr">
        <is>
          <t xml:space="preserve"> Request For Wire - Check List</t>
        </is>
      </c>
    </row>
    <row r="2" ht="18" customHeight="1">
      <c r="A2" s="43" t="inlineStr">
        <is>
          <t>Documento</t>
        </is>
      </c>
      <c r="B2" s="44" t="inlineStr">
        <is>
          <t xml:space="preserve">Local arquivamento </t>
        </is>
      </c>
      <c r="C2" s="43" t="inlineStr">
        <is>
          <t>Status</t>
        </is>
      </c>
    </row>
    <row r="3">
      <c r="A3" s="5" t="inlineStr">
        <is>
          <t xml:space="preserve"> Contrato com a operadora e termos aditivos </t>
        </is>
      </c>
      <c r="B3" s="123" t="inlineStr">
        <is>
          <t xml:space="preserve">M-Files como “*“(F) Lease” and *“(F) Amendment” </t>
        </is>
      </c>
      <c r="C3" s="6" t="n"/>
    </row>
    <row r="4" ht="24.6" customHeight="1">
      <c r="A4" s="5" t="inlineStr">
        <is>
          <t>Comprovante de aluguel recente (três meses anteriores ao mês de fechamento) - Solicitar o último paystub antes concluir o deal</t>
        </is>
      </c>
      <c r="B4" s="123" t="inlineStr">
        <is>
          <t xml:space="preserve">M-files como “*“(F) Lease” and *“(F) Amendment” </t>
        </is>
      </c>
      <c r="C4" s="6" t="n"/>
    </row>
    <row r="5">
      <c r="A5" s="5" t="inlineStr">
        <is>
          <t xml:space="preserve">Contratos APW </t>
        </is>
      </c>
      <c r="B5" s="123" t="inlineStr">
        <is>
          <t>M-Files como “(M)(F) Fully Executed Purchase Contract” - Assinado e com firma reconhecida</t>
        </is>
      </c>
      <c r="C5" s="6" t="n"/>
    </row>
    <row r="6">
      <c r="A6" s="7" t="inlineStr">
        <is>
          <t>Procuração</t>
        </is>
      </c>
      <c r="C6" s="6" t="n"/>
    </row>
    <row r="7">
      <c r="A7" s="7" t="inlineStr">
        <is>
          <t>Contrato de Cessão</t>
        </is>
      </c>
      <c r="C7" s="6" t="n"/>
    </row>
    <row r="8" ht="12.75" customHeight="1">
      <c r="A8" s="7" t="inlineStr">
        <is>
          <t>Contrato de compartilhamento de receitas</t>
        </is>
      </c>
      <c r="C8" s="6" t="n"/>
    </row>
    <row r="9" ht="11.25" customHeight="1">
      <c r="A9" s="7" t="inlineStr">
        <is>
          <t>Notificação Operadora</t>
        </is>
      </c>
      <c r="C9" s="6" t="n"/>
    </row>
    <row r="10">
      <c r="A10" s="5" t="inlineStr">
        <is>
          <t xml:space="preserve">Inspeção técnica salva </t>
        </is>
      </c>
      <c r="B10" s="123" t="inlineStr">
        <is>
          <t xml:space="preserve">M-Files como “(M)(F) Site Inspection” </t>
        </is>
      </c>
      <c r="C10" s="6" t="n"/>
    </row>
    <row r="11">
      <c r="A11" s="5" t="inlineStr">
        <is>
          <t>Ok do SIR</t>
        </is>
      </c>
      <c r="B11" s="40" t="inlineStr">
        <is>
          <t>Legal/Processing - RF expert audit</t>
        </is>
      </c>
      <c r="C11" s="6" t="n"/>
    </row>
    <row r="12">
      <c r="A12" s="5" t="inlineStr">
        <is>
          <t>DD Report</t>
        </is>
      </c>
      <c r="B12" s="123" t="inlineStr">
        <is>
          <t xml:space="preserve">M-Files como “(F) Signed Offer Agreement” </t>
        </is>
      </c>
      <c r="C12" s="6" t="n"/>
    </row>
    <row r="13">
      <c r="A13" s="5" t="inlineStr">
        <is>
          <t xml:space="preserve">Planilha de "Closing Costs" atualizada </t>
        </is>
      </c>
      <c r="B13" s="123" t="inlineStr">
        <is>
          <t>Dropbox "(D) Due Dilligence"</t>
        </is>
      </c>
      <c r="C13" s="6" t="n"/>
    </row>
    <row r="14">
      <c r="A14" s="5" t="inlineStr">
        <is>
          <t xml:space="preserve">Planilha de investimento completa </t>
        </is>
      </c>
      <c r="B14" s="40" t="inlineStr">
        <is>
          <t xml:space="preserve">M-Files como “(M)(F) Investment Worksheet” </t>
        </is>
      </c>
      <c r="C14" s="6" t="n"/>
    </row>
    <row r="15">
      <c r="A15" s="5" t="inlineStr">
        <is>
          <t>Recibo ADV</t>
        </is>
      </c>
      <c r="B15" s="40" t="inlineStr">
        <is>
          <t>M-Files com "Other" - Recibo/NF ADV</t>
        </is>
      </c>
      <c r="C15" s="6" t="n"/>
    </row>
    <row r="16">
      <c r="A16" s="5" t="inlineStr">
        <is>
          <t>Lead Wholesales</t>
        </is>
      </c>
      <c r="B16" s="40" t="inlineStr">
        <is>
          <t>CRM/Lead/Lead Source</t>
        </is>
      </c>
      <c r="C16" s="6" t="n"/>
    </row>
    <row r="20">
      <c r="A20" s="40" t="n"/>
      <c r="B20" s="123" t="n"/>
    </row>
  </sheetData>
  <mergeCells count="2">
    <mergeCell ref="A1:C1"/>
    <mergeCell ref="B5:B9"/>
  </mergeCells>
  <dataValidations count="1">
    <dataValidation sqref="C3:C16" showDropDown="0" showInputMessage="1" showErrorMessage="1" allowBlank="0" type="list">
      <formula1>"Ok,Pendente,N/A"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274"/>
  <sheetViews>
    <sheetView topLeftCell="A10" workbookViewId="0">
      <selection activeCell="B21" sqref="B21"/>
    </sheetView>
  </sheetViews>
  <sheetFormatPr baseColWidth="8" defaultRowHeight="14.4"/>
  <cols>
    <col width="5.33203125" bestFit="1" customWidth="1" min="2" max="2"/>
    <col width="99.6640625" bestFit="1" customWidth="1" min="3" max="3"/>
  </cols>
  <sheetData>
    <row r="2">
      <c r="B2" s="66" t="inlineStr">
        <is>
          <t>Cód.</t>
        </is>
      </c>
      <c r="C2" s="66" t="inlineStr">
        <is>
          <t>Banco</t>
        </is>
      </c>
    </row>
    <row r="3" ht="15" customHeight="1" thickBot="1">
      <c r="B3" s="67" t="n">
        <v>1</v>
      </c>
      <c r="C3" s="68" t="inlineStr">
        <is>
          <t>Banco do Brasil S.A.</t>
        </is>
      </c>
    </row>
    <row r="4" ht="15" customHeight="1" thickBot="1">
      <c r="B4" s="69" t="n">
        <v>70</v>
      </c>
      <c r="C4" s="70" t="inlineStr">
        <is>
          <t>BRB – BANCO DE BRASILIA S.A.</t>
        </is>
      </c>
    </row>
    <row r="5" ht="15" customHeight="1" thickBot="1">
      <c r="B5" s="71" t="inlineStr">
        <is>
          <t>n/a</t>
        </is>
      </c>
      <c r="C5" s="72" t="inlineStr">
        <is>
          <t>Banco Central do Brasil – Selic</t>
        </is>
      </c>
    </row>
    <row r="6" ht="15" customHeight="1" thickBot="1">
      <c r="B6" s="69" t="inlineStr">
        <is>
          <t>n/a</t>
        </is>
      </c>
      <c r="C6" s="70" t="inlineStr">
        <is>
          <t>Banco Central do Brasil</t>
        </is>
      </c>
    </row>
    <row r="7" ht="15" customHeight="1" thickBot="1">
      <c r="B7" s="71" t="n">
        <v>272</v>
      </c>
      <c r="C7" s="72" t="inlineStr">
        <is>
          <t>AGK CORRETORA DE CAMBIO S.A.</t>
        </is>
      </c>
    </row>
    <row r="8" ht="15" customHeight="1" thickBot="1">
      <c r="B8" s="69" t="n">
        <v>136</v>
      </c>
      <c r="C8" s="70" t="inlineStr">
        <is>
          <t>CONFEDERAÇÃO NACIONAL DAS COOPERATIVAS CENTRAIS UNICRED LTDA. – UNICRED DO BRASI</t>
        </is>
      </c>
    </row>
    <row r="9" ht="15" customHeight="1" thickBot="1">
      <c r="B9" s="71" t="n">
        <v>104</v>
      </c>
      <c r="C9" s="72" t="inlineStr">
        <is>
          <t>CAIXA ECONOMICA FEDERAL</t>
        </is>
      </c>
    </row>
    <row r="10" ht="15" customHeight="1" thickBot="1">
      <c r="B10" s="69" t="inlineStr">
        <is>
          <t>n/a</t>
        </is>
      </c>
      <c r="C10" s="70" t="inlineStr">
        <is>
          <t>Secretaria do Tesouro Nacional – STN</t>
        </is>
      </c>
    </row>
    <row r="11" ht="15" customHeight="1" thickBot="1">
      <c r="B11" s="71" t="n">
        <v>77</v>
      </c>
      <c r="C11" s="72" t="inlineStr">
        <is>
          <t>Banco Inter S.A.</t>
        </is>
      </c>
    </row>
    <row r="12" ht="15" customHeight="1" thickBot="1">
      <c r="B12" s="69" t="n">
        <v>741</v>
      </c>
      <c r="C12" s="70" t="inlineStr">
        <is>
          <t>BANCO RIBEIRAO PRETO S.A.</t>
        </is>
      </c>
    </row>
    <row r="13" ht="15" customHeight="1" thickBot="1">
      <c r="B13" s="71" t="n">
        <v>330</v>
      </c>
      <c r="C13" s="72" t="inlineStr">
        <is>
          <t>BANCO BARI DE INVESTIMENTOS E FINANCIAMENTOS S.A.</t>
        </is>
      </c>
    </row>
    <row r="14" ht="15" customHeight="1" thickBot="1">
      <c r="B14" s="69" t="n">
        <v>739</v>
      </c>
      <c r="C14" s="70" t="inlineStr">
        <is>
          <t>Banco Cetelem S.A.</t>
        </is>
      </c>
    </row>
    <row r="15" ht="15" customHeight="1" thickBot="1">
      <c r="B15" s="71" t="n">
        <v>743</v>
      </c>
      <c r="C15" s="72" t="inlineStr">
        <is>
          <t>Banco Semear S.A.</t>
        </is>
      </c>
    </row>
    <row r="16" ht="15" customHeight="1" thickBot="1">
      <c r="B16" s="69" t="n">
        <v>100</v>
      </c>
      <c r="C16" s="70" t="inlineStr">
        <is>
          <t>Planner Corretora de Valores S.A.</t>
        </is>
      </c>
    </row>
    <row r="17" ht="15" customHeight="1" thickBot="1">
      <c r="B17" s="71" t="n">
        <v>96</v>
      </c>
      <c r="C17" s="72" t="inlineStr">
        <is>
          <t>Banco B3 S.A.</t>
        </is>
      </c>
    </row>
    <row r="18" ht="15" customHeight="1" thickBot="1">
      <c r="B18" s="69" t="n">
        <v>747</v>
      </c>
      <c r="C18" s="70" t="inlineStr">
        <is>
          <t>Banco Rabobank International Brasil S.A.</t>
        </is>
      </c>
    </row>
    <row r="19" ht="15" customHeight="1" thickBot="1">
      <c r="B19" s="71" t="n">
        <v>362</v>
      </c>
      <c r="C19" s="72" t="inlineStr">
        <is>
          <t>CIELO S.A.</t>
        </is>
      </c>
    </row>
    <row r="20" ht="15" customHeight="1" thickBot="1">
      <c r="B20" s="69" t="n">
        <v>322</v>
      </c>
      <c r="C20" s="70" t="inlineStr">
        <is>
          <t>Cooperativa de Crédito Rural de Abelardo Luz – Sulcredi/Crediluz</t>
        </is>
      </c>
    </row>
    <row r="21" ht="15" customHeight="1" thickBot="1">
      <c r="B21" s="71" t="n">
        <v>748</v>
      </c>
      <c r="C21" s="72" t="inlineStr">
        <is>
          <t>BANCO COOPERATIVO SICREDI S.A.</t>
        </is>
      </c>
    </row>
    <row r="22" ht="15" customHeight="1" thickBot="1">
      <c r="B22" s="69" t="n">
        <v>350</v>
      </c>
      <c r="C22" s="70" t="inlineStr">
        <is>
          <t>COOPERATIVA DE CRÉDITO RURAL DE PEQUENOS AGRICULTORES E DA REFORMA AGRÁRIA DO CE</t>
        </is>
      </c>
    </row>
    <row r="23" ht="15" customHeight="1" thickBot="1">
      <c r="B23" s="71" t="n">
        <v>752</v>
      </c>
      <c r="C23" s="72" t="inlineStr">
        <is>
          <t>Banco BNP Paribas Brasil S.A.</t>
        </is>
      </c>
    </row>
    <row r="24" ht="15" customHeight="1" thickBot="1">
      <c r="B24" s="69" t="n">
        <v>91</v>
      </c>
      <c r="C24" s="70" t="inlineStr">
        <is>
          <t>CENTRAL DE COOPERATIVAS DE ECONOMIA E CRÉDITO MÚTUO DO ESTADO DO RIO GRANDE DO S</t>
        </is>
      </c>
    </row>
    <row r="25" ht="15" customHeight="1" thickBot="1">
      <c r="B25" s="71" t="n">
        <v>379</v>
      </c>
      <c r="C25" s="72" t="inlineStr">
        <is>
          <t>COOPERFORTE – COOPERATIVA DE ECONOMIA E CRÉDITO MÚTUO DOS FUNCIONÁRIOS DE INSTIT</t>
        </is>
      </c>
    </row>
    <row r="26" ht="15" customHeight="1" thickBot="1">
      <c r="B26" s="69" t="n">
        <v>399</v>
      </c>
      <c r="C26" s="70" t="inlineStr">
        <is>
          <t>Kirton Bank S.A. – Banco Múltiplo</t>
        </is>
      </c>
    </row>
    <row r="27" ht="15" customHeight="1" thickBot="1">
      <c r="B27" s="71" t="n">
        <v>108</v>
      </c>
      <c r="C27" s="72" t="inlineStr">
        <is>
          <t>PORTOCRED S.A. – CREDITO, FINANCIAMENTO E INVESTIMENTO</t>
        </is>
      </c>
    </row>
    <row r="28" ht="15" customHeight="1" thickBot="1">
      <c r="B28" s="69" t="n">
        <v>378</v>
      </c>
      <c r="C28" s="70" t="inlineStr">
        <is>
          <t>BBC LEASING S.A. – ARRENDAMENTO MERCANTIL</t>
        </is>
      </c>
    </row>
    <row r="29" ht="15" customHeight="1" thickBot="1">
      <c r="B29" s="71" t="n">
        <v>756</v>
      </c>
      <c r="C29" s="72" t="inlineStr">
        <is>
          <t>BANCO COOPERATIVO DO BRASIL S.A. – BANCOOB</t>
        </is>
      </c>
    </row>
    <row r="30" ht="15" customHeight="1" thickBot="1">
      <c r="B30" s="69" t="n">
        <v>360</v>
      </c>
      <c r="C30" s="70" t="inlineStr">
        <is>
          <t>TRINUS CAPITAL DISTRIBUIDORA DE TÍTULOS E VALORES MOBILIÁRIOS S.A.</t>
        </is>
      </c>
    </row>
    <row r="31" ht="15" customHeight="1" thickBot="1">
      <c r="B31" s="71" t="n">
        <v>757</v>
      </c>
      <c r="C31" s="72" t="inlineStr">
        <is>
          <t>BANCO KEB HANA DO BRASIL S.A.</t>
        </is>
      </c>
    </row>
    <row r="32" ht="15" customHeight="1" thickBot="1">
      <c r="B32" s="69" t="n">
        <v>102</v>
      </c>
      <c r="C32" s="70" t="inlineStr">
        <is>
          <t>XP INVESTIMENTOS CORRETORA DE CÂMBIO,TÍTULOS E VALORES MOBILIÁRIOS S/A</t>
        </is>
      </c>
    </row>
    <row r="33" ht="15" customHeight="1" thickBot="1">
      <c r="B33" s="71" t="n">
        <v>84</v>
      </c>
      <c r="C33" s="72" t="inlineStr">
        <is>
          <t>UNIPRIME NORTE DO PARANÁ – COOPERATIVA DE CRÉDITO LTDA</t>
        </is>
      </c>
    </row>
    <row r="34" ht="15" customHeight="1" thickBot="1">
      <c r="B34" s="69" t="n">
        <v>180</v>
      </c>
      <c r="C34" s="70" t="inlineStr">
        <is>
          <t>CM CAPITAL MARKETS CORRETORA DE CÂMBIO, TÍTULOS E VALORES MOBILIÁRIOS LTDA</t>
        </is>
      </c>
    </row>
    <row r="35" ht="15" customHeight="1" thickBot="1">
      <c r="B35" s="71" t="n">
        <v>66</v>
      </c>
      <c r="C35" s="72" t="inlineStr">
        <is>
          <t>BANCO MORGAN STANLEY S.A.</t>
        </is>
      </c>
    </row>
    <row r="36" ht="15" customHeight="1" thickBot="1">
      <c r="B36" s="69" t="n">
        <v>15</v>
      </c>
      <c r="C36" s="70" t="inlineStr">
        <is>
          <t>UBS Brasil Corretora de Câmbio, Títulos e Valores Mobiliários S.A.</t>
        </is>
      </c>
    </row>
    <row r="37" ht="15" customHeight="1" thickBot="1">
      <c r="B37" s="71" t="n">
        <v>143</v>
      </c>
      <c r="C37" s="72" t="inlineStr">
        <is>
          <t>Treviso Corretora de Câmbio S.A.</t>
        </is>
      </c>
    </row>
    <row r="38" ht="15" customHeight="1" thickBot="1">
      <c r="B38" s="69" t="inlineStr">
        <is>
          <t>n/a</t>
        </is>
      </c>
      <c r="C38" s="70" t="inlineStr">
        <is>
          <t>Câmara Interbancária de Pagamentos – CIP – LDL</t>
        </is>
      </c>
    </row>
    <row r="39" ht="15" customHeight="1" thickBot="1">
      <c r="B39" s="71" t="n">
        <v>62</v>
      </c>
      <c r="C39" s="72" t="inlineStr">
        <is>
          <t>Hipercard Banco Múltiplo S.A.</t>
        </is>
      </c>
    </row>
    <row r="40" ht="15" customHeight="1" thickBot="1">
      <c r="B40" s="69" t="n">
        <v>74</v>
      </c>
      <c r="C40" s="70" t="inlineStr">
        <is>
          <t>Banco J. Safra S.A.</t>
        </is>
      </c>
    </row>
    <row r="41" ht="15" customHeight="1" thickBot="1">
      <c r="B41" s="71" t="n">
        <v>99</v>
      </c>
      <c r="C41" s="72" t="inlineStr">
        <is>
          <t>UNIPRIME CENTRAL – CENTRAL INTERESTADUAL DE COOPERATIVAS DE CREDITO LTDA.</t>
        </is>
      </c>
    </row>
    <row r="42" ht="15" customHeight="1" thickBot="1">
      <c r="B42" s="69" t="n">
        <v>387</v>
      </c>
      <c r="C42" s="70" t="inlineStr">
        <is>
          <t>Banco Toyota do Brasil S.A.</t>
        </is>
      </c>
    </row>
    <row r="43" ht="15" customHeight="1" thickBot="1">
      <c r="B43" s="71" t="n">
        <v>326</v>
      </c>
      <c r="C43" s="72" t="inlineStr">
        <is>
          <t>PARATI – CREDITO, FINANCIAMENTO E INVESTIMENTO S.A.</t>
        </is>
      </c>
    </row>
    <row r="44" ht="15" customHeight="1" thickBot="1">
      <c r="B44" s="69" t="n">
        <v>25</v>
      </c>
      <c r="C44" s="70" t="inlineStr">
        <is>
          <t>Banco Alfa S.A.</t>
        </is>
      </c>
    </row>
    <row r="45" ht="15" customHeight="1" thickBot="1">
      <c r="B45" s="71" t="n">
        <v>315</v>
      </c>
      <c r="C45" s="72" t="inlineStr">
        <is>
          <t>PI Distribuidora de Títulos e Valores Mobiliários S.A.</t>
        </is>
      </c>
    </row>
    <row r="46" ht="15" customHeight="1" thickBot="1">
      <c r="B46" s="69" t="n">
        <v>75</v>
      </c>
      <c r="C46" s="70" t="inlineStr">
        <is>
          <t>Banco ABN Amro S.A.</t>
        </is>
      </c>
    </row>
    <row r="47" ht="15" customHeight="1" thickBot="1">
      <c r="B47" s="71" t="n">
        <v>40</v>
      </c>
      <c r="C47" s="72" t="inlineStr">
        <is>
          <t>Banco Cargill S.A.</t>
        </is>
      </c>
    </row>
    <row r="48" ht="15" customHeight="1" thickBot="1">
      <c r="B48" s="69" t="n">
        <v>307</v>
      </c>
      <c r="C48" s="70" t="inlineStr">
        <is>
          <t>Terra Investimentos Distribuidora de Títulos e Valores Mobiliários Ltda.</t>
        </is>
      </c>
    </row>
    <row r="49" ht="15" customHeight="1" thickBot="1">
      <c r="B49" s="71" t="n">
        <v>190</v>
      </c>
      <c r="C49" s="72" t="inlineStr">
        <is>
          <t>SERVICOOP – COOPERATIVA DE CRÉDITO DOS SERVIDORES PÚBLICOS ESTADUAIS DO RIO GRAN</t>
        </is>
      </c>
    </row>
    <row r="50" ht="15" customHeight="1" thickBot="1">
      <c r="B50" s="69" t="n">
        <v>296</v>
      </c>
      <c r="C50" s="70" t="inlineStr">
        <is>
          <t>VISION S.A. CORRETORA DE CAMBIO</t>
        </is>
      </c>
    </row>
    <row r="51" ht="15" customHeight="1" thickBot="1">
      <c r="B51" s="71" t="n">
        <v>63</v>
      </c>
      <c r="C51" s="72" t="inlineStr">
        <is>
          <t>Banco Bradescard S.A.</t>
        </is>
      </c>
    </row>
    <row r="52" ht="15" customHeight="1" thickBot="1">
      <c r="B52" s="69" t="n">
        <v>191</v>
      </c>
      <c r="C52" s="70" t="inlineStr">
        <is>
          <t>Nova Futura Corretora de Títulos e Valores Mobiliários Ltda.</t>
        </is>
      </c>
    </row>
    <row r="53" ht="15" customHeight="1" thickBot="1">
      <c r="B53" s="71" t="n">
        <v>382</v>
      </c>
      <c r="C53" s="72" t="inlineStr">
        <is>
          <t>FIDÚCIA SOCIEDADE DE CRÉDITO AO MICROEMPREENDEDOR E À EMPRESA DE PEQUENO PORTE L</t>
        </is>
      </c>
    </row>
    <row r="54" ht="15" customHeight="1" thickBot="1">
      <c r="B54" s="69" t="n">
        <v>64</v>
      </c>
      <c r="C54" s="70" t="inlineStr">
        <is>
          <t>GOLDMAN SACHS DO BRASIL BANCO MULTIPLO S.A.</t>
        </is>
      </c>
    </row>
    <row r="55" ht="15" customHeight="1" thickBot="1">
      <c r="B55" s="71" t="inlineStr">
        <is>
          <t>n/a</t>
        </is>
      </c>
      <c r="C55" s="72" t="inlineStr">
        <is>
          <t>Câmara Interbancária de Pagamentos</t>
        </is>
      </c>
    </row>
    <row r="56" ht="15" customHeight="1" thickBot="1">
      <c r="B56" s="69" t="n">
        <v>97</v>
      </c>
      <c r="C56" s="70" t="inlineStr">
        <is>
          <t>Credisis – Central de Cooperativas de Crédito Ltda.</t>
        </is>
      </c>
    </row>
    <row r="57" ht="15" customHeight="1" thickBot="1">
      <c r="B57" s="71" t="n">
        <v>16</v>
      </c>
      <c r="C57" s="72" t="inlineStr">
        <is>
          <t>COOPERATIVA DE CRÉDITO MÚTUO DOS DESPACHANTES DE TRÂNSITO DE SANTA CATARINA E RI</t>
        </is>
      </c>
    </row>
    <row r="58" ht="15" customHeight="1" thickBot="1">
      <c r="B58" s="69" t="n">
        <v>299</v>
      </c>
      <c r="C58" s="70" t="inlineStr">
        <is>
          <t>SOROCRED   CRÉDITO, FINANCIAMENTO E INVESTIMENTO S.A.</t>
        </is>
      </c>
    </row>
    <row r="59" ht="15" customHeight="1" thickBot="1">
      <c r="B59" s="71" t="n">
        <v>12</v>
      </c>
      <c r="C59" s="72" t="inlineStr">
        <is>
          <t>Banco Inbursa S.A.</t>
        </is>
      </c>
    </row>
    <row r="60" ht="15" customHeight="1" thickBot="1">
      <c r="B60" s="69" t="n">
        <v>3</v>
      </c>
      <c r="C60" s="70" t="inlineStr">
        <is>
          <t>BANCO DA AMAZONIA S.A.</t>
        </is>
      </c>
    </row>
    <row r="61" ht="15" customHeight="1" thickBot="1">
      <c r="B61" s="71" t="n">
        <v>60</v>
      </c>
      <c r="C61" s="72" t="inlineStr">
        <is>
          <t>Confidence Corretora de Câmbio S.A.</t>
        </is>
      </c>
    </row>
    <row r="62" ht="15" customHeight="1" thickBot="1">
      <c r="B62" s="69" t="n">
        <v>37</v>
      </c>
      <c r="C62" s="70" t="inlineStr">
        <is>
          <t>Banco do Estado do Pará S.A.</t>
        </is>
      </c>
    </row>
    <row r="63" ht="15" customHeight="1" thickBot="1">
      <c r="B63" s="71" t="n">
        <v>359</v>
      </c>
      <c r="C63" s="72" t="inlineStr">
        <is>
          <t>ZEMA CRÉDITO, FINANCIAMENTO E INVESTIMENTO S/A</t>
        </is>
      </c>
    </row>
    <row r="64" ht="15" customHeight="1" thickBot="1">
      <c r="B64" s="69" t="n">
        <v>159</v>
      </c>
      <c r="C64" s="70" t="inlineStr">
        <is>
          <t>Casa do Crédito S.A. Sociedade de Crédito ao Microempreendedor</t>
        </is>
      </c>
    </row>
    <row r="65" ht="15" customHeight="1" thickBot="1">
      <c r="B65" s="71" t="n">
        <v>85</v>
      </c>
      <c r="C65" s="72" t="inlineStr">
        <is>
          <t>Cooperativa Central de Crédito – Ailos</t>
        </is>
      </c>
    </row>
    <row r="66" ht="15" customHeight="1" thickBot="1">
      <c r="B66" s="69" t="n">
        <v>114</v>
      </c>
      <c r="C66" s="70" t="inlineStr">
        <is>
          <t>Central Cooperativa de Crédito no Estado do Espírito Santo – CECOOP</t>
        </is>
      </c>
    </row>
    <row r="67" ht="15" customHeight="1" thickBot="1">
      <c r="B67" s="71" t="n">
        <v>36</v>
      </c>
      <c r="C67" s="72" t="inlineStr">
        <is>
          <t>Banco Bradesco BBI S.A.</t>
        </is>
      </c>
    </row>
    <row r="68" ht="15" customHeight="1" thickBot="1">
      <c r="B68" s="69" t="n">
        <v>394</v>
      </c>
      <c r="C68" s="70" t="inlineStr">
        <is>
          <t>Banco Bradesco Financiamentos S.A.</t>
        </is>
      </c>
    </row>
    <row r="69" ht="15" customHeight="1" thickBot="1">
      <c r="B69" s="71" t="n">
        <v>4</v>
      </c>
      <c r="C69" s="72" t="inlineStr">
        <is>
          <t>Banco do Nordeste do Brasil S.A.</t>
        </is>
      </c>
    </row>
    <row r="70" ht="15" customHeight="1" thickBot="1">
      <c r="B70" s="69" t="n">
        <v>320</v>
      </c>
      <c r="C70" s="70" t="inlineStr">
        <is>
          <t>China Construction Bank (Brasil) Banco Múltiplo S/A</t>
        </is>
      </c>
    </row>
    <row r="71" ht="15" customHeight="1" thickBot="1">
      <c r="B71" s="71" t="n">
        <v>189</v>
      </c>
      <c r="C71" s="72" t="inlineStr">
        <is>
          <t>HS FINANCEIRA S/A CREDITO, FINANCIAMENTO E INVESTIMENTOS</t>
        </is>
      </c>
    </row>
    <row r="72" ht="15" customHeight="1" thickBot="1">
      <c r="B72" s="69" t="n">
        <v>105</v>
      </c>
      <c r="C72" s="70" t="inlineStr">
        <is>
          <t>Lecca Crédito, Financiamento e Investimento S/A</t>
        </is>
      </c>
    </row>
    <row r="73" ht="15" customHeight="1" thickBot="1">
      <c r="B73" s="71" t="n">
        <v>76</v>
      </c>
      <c r="C73" s="72" t="inlineStr">
        <is>
          <t>Banco KDB do Brasil S.A.</t>
        </is>
      </c>
    </row>
    <row r="74" ht="15" customHeight="1" thickBot="1">
      <c r="B74" s="69" t="n">
        <v>82</v>
      </c>
      <c r="C74" s="70" t="inlineStr">
        <is>
          <t>BANCO TOPÁZIO S.A.</t>
        </is>
      </c>
    </row>
    <row r="75" ht="15" customHeight="1" thickBot="1">
      <c r="B75" s="71" t="n">
        <v>286</v>
      </c>
      <c r="C75" s="72" t="inlineStr">
        <is>
          <t>COOPERATIVA DE CRÉDITO RURAL DE OURO   SULCREDI/OURO</t>
        </is>
      </c>
    </row>
    <row r="76" ht="15" customHeight="1" thickBot="1">
      <c r="B76" s="69" t="n">
        <v>93</v>
      </c>
      <c r="C76" s="70" t="inlineStr">
        <is>
          <t>PÓLOCRED   SOCIEDADE DE CRÉDITO AO MICROEMPREENDEDOR E À EMPRESA DE PEQUENO PORT</t>
        </is>
      </c>
    </row>
    <row r="77" ht="15" customHeight="1" thickBot="1">
      <c r="B77" s="71" t="n">
        <v>391</v>
      </c>
      <c r="C77" s="72" t="inlineStr">
        <is>
          <t>COOPERATIVA DE CREDITO RURAL DE IBIAM – SULCREDI/IBIAM</t>
        </is>
      </c>
    </row>
    <row r="78" ht="15" customHeight="1" thickBot="1">
      <c r="B78" s="69" t="n">
        <v>273</v>
      </c>
      <c r="C78" s="70" t="inlineStr">
        <is>
          <t>Cooperativa de Crédito Rural de São Miguel do Oeste – Sulcredi/São Miguel</t>
        </is>
      </c>
    </row>
    <row r="79" ht="15" customHeight="1" thickBot="1">
      <c r="B79" s="71" t="n">
        <v>368</v>
      </c>
      <c r="C79" s="72" t="inlineStr">
        <is>
          <t>Banco CSF S.A.</t>
        </is>
      </c>
    </row>
    <row r="80" ht="15" customHeight="1" thickBot="1">
      <c r="B80" s="69" t="n">
        <v>290</v>
      </c>
      <c r="C80" s="70" t="inlineStr">
        <is>
          <t>Pagseguro Internet S.A.</t>
        </is>
      </c>
    </row>
    <row r="81" ht="15" customHeight="1" thickBot="1">
      <c r="B81" s="71" t="n">
        <v>259</v>
      </c>
      <c r="C81" s="72" t="inlineStr">
        <is>
          <t>MONEYCORP BANCO DE CÂMBIO S.A.</t>
        </is>
      </c>
    </row>
    <row r="82" ht="15" customHeight="1" thickBot="1">
      <c r="B82" s="69" t="n">
        <v>364</v>
      </c>
      <c r="C82" s="70" t="inlineStr">
        <is>
          <t>GERENCIANET S.A.</t>
        </is>
      </c>
    </row>
    <row r="83" ht="15" customHeight="1" thickBot="1">
      <c r="B83" s="71" t="n">
        <v>157</v>
      </c>
      <c r="C83" s="72" t="inlineStr">
        <is>
          <t>ICAP do Brasil Corretora de Títulos e Valores Mobiliários Ltda.</t>
        </is>
      </c>
    </row>
    <row r="84" ht="15" customHeight="1" thickBot="1">
      <c r="B84" s="69" t="n">
        <v>183</v>
      </c>
      <c r="C84" s="70" t="inlineStr">
        <is>
          <t>SOCRED S.A. – SOCIEDADE DE CRÉDITO AO MICROEMPREENDEDOR E À EMPRESA DE PEQUENO P</t>
        </is>
      </c>
    </row>
    <row r="85" ht="15" customHeight="1" thickBot="1">
      <c r="B85" s="71" t="n">
        <v>14</v>
      </c>
      <c r="C85" s="72" t="inlineStr">
        <is>
          <t>STATE STREET BRASIL S.A. ? BANCO COMERCIAL</t>
        </is>
      </c>
    </row>
    <row r="86" ht="15" customHeight="1" thickBot="1">
      <c r="B86" s="69" t="n">
        <v>130</v>
      </c>
      <c r="C86" s="70" t="inlineStr">
        <is>
          <t>CARUANA S.A. – SOCIEDADE DE CRÉDITO, FINANCIAMENTO E INVESTIMENTO</t>
        </is>
      </c>
    </row>
    <row r="87" ht="15" customHeight="1" thickBot="1">
      <c r="B87" s="71" t="n">
        <v>127</v>
      </c>
      <c r="C87" s="72" t="inlineStr">
        <is>
          <t>Codepe Corretora de Valores e Câmbio S.A.</t>
        </is>
      </c>
    </row>
    <row r="88" ht="15" customHeight="1" thickBot="1">
      <c r="B88" s="69" t="n">
        <v>79</v>
      </c>
      <c r="C88" s="70" t="inlineStr">
        <is>
          <t>Banco Original do Agronegócio S.A.</t>
        </is>
      </c>
    </row>
    <row r="89" ht="15" customHeight="1" thickBot="1">
      <c r="B89" s="71" t="n">
        <v>340</v>
      </c>
      <c r="C89" s="72" t="inlineStr">
        <is>
          <t>Super Pagamentos e Administração de Meios Eletrônicos S.A.</t>
        </is>
      </c>
    </row>
    <row r="90" ht="15" customHeight="1" thickBot="1">
      <c r="B90" s="69" t="n">
        <v>81</v>
      </c>
      <c r="C90" s="70" t="inlineStr">
        <is>
          <t>BancoSeguro S.A.</t>
        </is>
      </c>
    </row>
    <row r="91" ht="15" customHeight="1" thickBot="1">
      <c r="B91" s="71" t="n">
        <v>133</v>
      </c>
      <c r="C91" s="72" t="inlineStr">
        <is>
          <t>CONFEDERAÇÃO NACIONAL DAS COOPERATIVAS CENTRAIS DE CRÉDITO E ECONOMIA FAMILIAR E</t>
        </is>
      </c>
    </row>
    <row r="92" ht="15" customHeight="1" thickBot="1">
      <c r="B92" s="69" t="n">
        <v>323</v>
      </c>
      <c r="C92" s="70" t="inlineStr">
        <is>
          <t>MERCADOPAGO.COM REPRESENTACOES LTDA.</t>
        </is>
      </c>
    </row>
    <row r="93" ht="15" customHeight="1" thickBot="1">
      <c r="B93" s="71" t="n">
        <v>121</v>
      </c>
      <c r="C93" s="72" t="inlineStr">
        <is>
          <t>Banco Agibank S.A.</t>
        </is>
      </c>
    </row>
    <row r="94" ht="15" customHeight="1" thickBot="1">
      <c r="B94" s="69" t="n">
        <v>83</v>
      </c>
      <c r="C94" s="70" t="inlineStr">
        <is>
          <t>Banco da China Brasil S.A.</t>
        </is>
      </c>
    </row>
    <row r="95" ht="15" customHeight="1" thickBot="1">
      <c r="B95" s="71" t="n">
        <v>138</v>
      </c>
      <c r="C95" s="72" t="inlineStr">
        <is>
          <t>Get Money Corretora de Câmbio S.A.</t>
        </is>
      </c>
    </row>
    <row r="96" ht="15" customHeight="1" thickBot="1">
      <c r="B96" s="69" t="n">
        <v>24</v>
      </c>
      <c r="C96" s="70" t="inlineStr">
        <is>
          <t>Banco Bandepe S.A.</t>
        </is>
      </c>
    </row>
    <row r="97" ht="15" customHeight="1" thickBot="1">
      <c r="B97" s="71" t="n">
        <v>384</v>
      </c>
      <c r="C97" s="72" t="inlineStr">
        <is>
          <t>GLOBAL FINANÇAS SOCIEDADE DE CRÉDITO AO MICROEMPREENDEDOR E À EMPRESA DE PEQUENO</t>
        </is>
      </c>
    </row>
    <row r="98" ht="15" customHeight="1" thickBot="1">
      <c r="B98" s="69" t="n">
        <v>88</v>
      </c>
      <c r="C98" s="70" t="inlineStr">
        <is>
          <t>BANCO RANDON S.A.</t>
        </is>
      </c>
    </row>
    <row r="99" ht="15" customHeight="1" thickBot="1">
      <c r="B99" s="71" t="n">
        <v>319</v>
      </c>
      <c r="C99" s="72" t="inlineStr">
        <is>
          <t>OM DISTRIBUIDORA DE TÍTULOS E VALORES MOBILIÁRIOS LTDA</t>
        </is>
      </c>
    </row>
    <row r="100" ht="15" customHeight="1" thickBot="1">
      <c r="B100" s="69" t="n">
        <v>274</v>
      </c>
      <c r="C100" s="70" t="inlineStr">
        <is>
          <t>MONEY PLUS SOCIEDADE DE CRÉDITO AO MICROEMPREENDEDOR E A EMPRESA DE PEQUENO PORT</t>
        </is>
      </c>
    </row>
    <row r="101" ht="15" customHeight="1" thickBot="1">
      <c r="B101" s="71" t="n">
        <v>95</v>
      </c>
      <c r="C101" s="72" t="inlineStr">
        <is>
          <t>Travelex Banco de Câmbio S.A.</t>
        </is>
      </c>
    </row>
    <row r="102" ht="15" customHeight="1" thickBot="1">
      <c r="B102" s="69" t="n">
        <v>94</v>
      </c>
      <c r="C102" s="70" t="inlineStr">
        <is>
          <t>Banco Finaxis S.A.</t>
        </is>
      </c>
    </row>
    <row r="103" ht="15" customHeight="1" thickBot="1">
      <c r="B103" s="71" t="n">
        <v>276</v>
      </c>
      <c r="C103" s="72" t="inlineStr">
        <is>
          <t>Senff S.A. – Crédito, Financiamento e Investimento</t>
        </is>
      </c>
    </row>
    <row r="104" ht="15" customHeight="1" thickBot="1">
      <c r="B104" s="69" t="n">
        <v>92</v>
      </c>
      <c r="C104" s="70" t="inlineStr">
        <is>
          <t>BRK S.A. Crédito, Financiamento e Investimento</t>
        </is>
      </c>
    </row>
    <row r="105" ht="15" customHeight="1" thickBot="1">
      <c r="B105" s="71" t="n">
        <v>47</v>
      </c>
      <c r="C105" s="72" t="inlineStr">
        <is>
          <t>Banco do Estado de Sergipe S.A.</t>
        </is>
      </c>
    </row>
    <row r="106" ht="15" customHeight="1" thickBot="1">
      <c r="B106" s="69" t="n">
        <v>144</v>
      </c>
      <c r="C106" s="70" t="inlineStr">
        <is>
          <t>BEXS BANCO DE CÂMBIO S/A</t>
        </is>
      </c>
    </row>
    <row r="107" ht="15" customHeight="1" thickBot="1">
      <c r="B107" s="71" t="n">
        <v>332</v>
      </c>
      <c r="C107" s="72" t="inlineStr">
        <is>
          <t>Acesso Soluções de Pagamento S.A.</t>
        </is>
      </c>
    </row>
    <row r="108" ht="15" customHeight="1" thickBot="1">
      <c r="B108" s="69" t="n">
        <v>126</v>
      </c>
      <c r="C108" s="70" t="inlineStr">
        <is>
          <t>BR Partners Banco de Investimento S.A.</t>
        </is>
      </c>
    </row>
    <row r="109" ht="15" customHeight="1" thickBot="1">
      <c r="B109" s="71" t="n">
        <v>325</v>
      </c>
      <c r="C109" s="72" t="inlineStr">
        <is>
          <t>Órama Distribuidora de Títulos e Valores Mobiliários S.A.</t>
        </is>
      </c>
    </row>
    <row r="110" ht="15" customHeight="1" thickBot="1">
      <c r="B110" s="69" t="n">
        <v>301</v>
      </c>
      <c r="C110" s="70" t="inlineStr">
        <is>
          <t>BPP Instituição de Pagamento S.A.</t>
        </is>
      </c>
    </row>
    <row r="111" ht="15" customHeight="1" thickBot="1">
      <c r="B111" s="71" t="n">
        <v>173</v>
      </c>
      <c r="C111" s="72" t="inlineStr">
        <is>
          <t>BRL Trust Distribuidora de Títulos e Valores Mobiliários S.A.</t>
        </is>
      </c>
    </row>
    <row r="112" ht="15" customHeight="1" thickBot="1">
      <c r="B112" s="69" t="n">
        <v>331</v>
      </c>
      <c r="C112" s="70" t="inlineStr">
        <is>
          <t>Fram Capital Distribuidora de Títulos e Valores Mobiliários S.A.</t>
        </is>
      </c>
    </row>
    <row r="113" ht="15" customHeight="1" thickBot="1">
      <c r="B113" s="71" t="n">
        <v>119</v>
      </c>
      <c r="C113" s="72" t="inlineStr">
        <is>
          <t>Banco Western Union do Brasil S.A.</t>
        </is>
      </c>
    </row>
    <row r="114" ht="15" customHeight="1" thickBot="1">
      <c r="B114" s="69" t="n">
        <v>396</v>
      </c>
      <c r="C114" s="70" t="inlineStr">
        <is>
          <t>HUB PAGAMENTOS S.A</t>
        </is>
      </c>
    </row>
    <row r="115" ht="15" customHeight="1" thickBot="1">
      <c r="B115" s="71" t="n">
        <v>309</v>
      </c>
      <c r="C115" s="72" t="inlineStr">
        <is>
          <t>CAMBIONET CORRETORA DE CÂMBIO LTDA.</t>
        </is>
      </c>
    </row>
    <row r="116" ht="15" customHeight="1" thickBot="1">
      <c r="B116" s="69" t="n">
        <v>254</v>
      </c>
      <c r="C116" s="70" t="inlineStr">
        <is>
          <t>PARANÁ BANCO S.A.</t>
        </is>
      </c>
    </row>
    <row r="117" ht="15" customHeight="1" thickBot="1">
      <c r="B117" s="71" t="n">
        <v>268</v>
      </c>
      <c r="C117" s="72" t="inlineStr">
        <is>
          <t>BARI COMPANHIA HIPOTECÁRIA</t>
        </is>
      </c>
    </row>
    <row r="118" ht="15" customHeight="1" thickBot="1">
      <c r="B118" s="69" t="n">
        <v>107</v>
      </c>
      <c r="C118" s="70" t="inlineStr">
        <is>
          <t>Banco Bocom BBM S.A.</t>
        </is>
      </c>
    </row>
    <row r="119" ht="15" customHeight="1" thickBot="1">
      <c r="B119" s="71" t="n">
        <v>412</v>
      </c>
      <c r="C119" s="72" t="inlineStr">
        <is>
          <t>BANCO CAPITAL S.A.</t>
        </is>
      </c>
    </row>
    <row r="120" ht="15" customHeight="1" thickBot="1">
      <c r="B120" s="69" t="n">
        <v>124</v>
      </c>
      <c r="C120" s="70" t="inlineStr">
        <is>
          <t>Banco Woori Bank do Brasil S.A.</t>
        </is>
      </c>
    </row>
    <row r="121" ht="15" customHeight="1" thickBot="1">
      <c r="B121" s="71" t="n">
        <v>149</v>
      </c>
      <c r="C121" s="72" t="inlineStr">
        <is>
          <t>Facta Financeira S.A. – Crédito Financiamento e Investimento</t>
        </is>
      </c>
    </row>
    <row r="122" ht="15" customHeight="1" thickBot="1">
      <c r="B122" s="69" t="n">
        <v>197</v>
      </c>
      <c r="C122" s="70" t="inlineStr">
        <is>
          <t>Stone Pagamentos S.A.</t>
        </is>
      </c>
    </row>
    <row r="123" ht="15" customHeight="1" thickBot="1">
      <c r="B123" s="71" t="n">
        <v>313</v>
      </c>
      <c r="C123" s="72" t="inlineStr">
        <is>
          <t>AMAZÔNIA CORRETORA DE CÂMBIO LTDA.</t>
        </is>
      </c>
    </row>
    <row r="124" ht="15" customHeight="1" thickBot="1">
      <c r="B124" s="69" t="n">
        <v>142</v>
      </c>
      <c r="C124" s="70" t="inlineStr">
        <is>
          <t>Broker Brasil Corretora de Câmbio Ltda.</t>
        </is>
      </c>
    </row>
    <row r="125" ht="15" customHeight="1" thickBot="1">
      <c r="B125" s="71" t="n">
        <v>389</v>
      </c>
      <c r="C125" s="72" t="inlineStr">
        <is>
          <t>Banco Mercantil do Brasil S.A.</t>
        </is>
      </c>
    </row>
    <row r="126" ht="15" customHeight="1" thickBot="1">
      <c r="B126" s="69" t="n">
        <v>184</v>
      </c>
      <c r="C126" s="70" t="inlineStr">
        <is>
          <t>Banco Itaú BBA S.A.</t>
        </is>
      </c>
    </row>
    <row r="127" ht="15" customHeight="1" thickBot="1">
      <c r="B127" s="71" t="n">
        <v>634</v>
      </c>
      <c r="C127" s="72" t="inlineStr">
        <is>
          <t>BANCO TRIANGULO S.A.</t>
        </is>
      </c>
    </row>
    <row r="128" ht="15" customHeight="1" thickBot="1">
      <c r="B128" s="69" t="n">
        <v>545</v>
      </c>
      <c r="C128" s="70" t="inlineStr">
        <is>
          <t>SENSO CORRETORA DE CAMBIO E VALORES MOBILIARIOS S.A</t>
        </is>
      </c>
    </row>
    <row r="129" ht="15" customHeight="1" thickBot="1">
      <c r="B129" s="71" t="n">
        <v>132</v>
      </c>
      <c r="C129" s="72" t="inlineStr">
        <is>
          <t>ICBC do Brasil Banco Múltiplo S.A.</t>
        </is>
      </c>
    </row>
    <row r="130" ht="15" customHeight="1" thickBot="1">
      <c r="B130" s="69" t="n">
        <v>298</v>
      </c>
      <c r="C130" s="70" t="inlineStr">
        <is>
          <t>Vip’s Corretora de Câmbio Ltda.</t>
        </is>
      </c>
    </row>
    <row r="131" ht="15" customHeight="1" thickBot="1">
      <c r="B131" s="71" t="n">
        <v>377</v>
      </c>
      <c r="C131" s="72" t="inlineStr">
        <is>
          <t>MS SOCIEDADE DE CRÉDITO AO MICROEMPREENDEDOR E À EMPRESA DE PEQUENO PORTE LTDA</t>
        </is>
      </c>
    </row>
    <row r="132" ht="15" customHeight="1" thickBot="1">
      <c r="B132" s="69" t="n">
        <v>321</v>
      </c>
      <c r="C132" s="70" t="inlineStr">
        <is>
          <t>CREFAZ SOCIEDADE DE CRÉDITO AO MICROEMPREENDEDOR E A EMPRESA DE PEQUENO PORTE LT</t>
        </is>
      </c>
    </row>
    <row r="133" ht="15" customHeight="1" thickBot="1">
      <c r="B133" s="71" t="n">
        <v>260</v>
      </c>
      <c r="C133" s="72" t="inlineStr">
        <is>
          <t>Nu Pagamentos S.A.</t>
        </is>
      </c>
    </row>
    <row r="134" ht="15" customHeight="1" thickBot="1">
      <c r="B134" s="69" t="n">
        <v>129</v>
      </c>
      <c r="C134" s="70" t="inlineStr">
        <is>
          <t>UBS Brasil Banco de Investimento S.A.</t>
        </is>
      </c>
    </row>
    <row r="135" ht="15" customHeight="1" thickBot="1">
      <c r="B135" s="71" t="n">
        <v>128</v>
      </c>
      <c r="C135" s="72" t="inlineStr">
        <is>
          <t>MS Bank S.A. Banco de Câmbio</t>
        </is>
      </c>
    </row>
    <row r="136" ht="15" customHeight="1" thickBot="1">
      <c r="B136" s="69" t="n">
        <v>194</v>
      </c>
      <c r="C136" s="70" t="inlineStr">
        <is>
          <t>PARMETAL DISTRIBUIDORA DE TÍTULOS E VALORES MOBILIÁRIOS LTDA</t>
        </is>
      </c>
    </row>
    <row r="137" ht="15" customHeight="1" thickBot="1">
      <c r="B137" s="71" t="n">
        <v>383</v>
      </c>
      <c r="C137" s="72" t="inlineStr">
        <is>
          <t>BOLETOBANCÁRIO.COM TECNOLOGIA DE PAGAMENTOS LTDA.</t>
        </is>
      </c>
    </row>
    <row r="138" ht="15" customHeight="1" thickBot="1">
      <c r="B138" s="69" t="n">
        <v>324</v>
      </c>
      <c r="C138" s="70" t="inlineStr">
        <is>
          <t>CARTOS SOCIEDADE DE CRÉDITO DIRETO S.A.</t>
        </is>
      </c>
    </row>
    <row r="139" ht="15" customHeight="1" thickBot="1">
      <c r="B139" s="71" t="n">
        <v>310</v>
      </c>
      <c r="C139" s="72" t="inlineStr">
        <is>
          <t>VORTX DISTRIBUIDORA DE TITULOS E VALORES MOBILIARIOS LTDA.</t>
        </is>
      </c>
    </row>
    <row r="140" ht="15" customHeight="1" thickBot="1">
      <c r="B140" s="69" t="n">
        <v>380</v>
      </c>
      <c r="C140" s="70" t="inlineStr">
        <is>
          <t>PICPAY SERVICOS S.A.</t>
        </is>
      </c>
    </row>
    <row r="141" ht="15" customHeight="1" thickBot="1">
      <c r="B141" s="71" t="n">
        <v>163</v>
      </c>
      <c r="C141" s="72" t="inlineStr">
        <is>
          <t>Commerzbank Brasil S.A. – Banco Múltiplo</t>
        </is>
      </c>
    </row>
    <row r="142" ht="15" customHeight="1" thickBot="1">
      <c r="B142" s="69" t="n">
        <v>280</v>
      </c>
      <c r="C142" s="70" t="inlineStr">
        <is>
          <t>Avista S.A. Crédito, Financiamento e Investimento</t>
        </is>
      </c>
    </row>
    <row r="143" ht="15" customHeight="1" thickBot="1">
      <c r="B143" s="71" t="n">
        <v>146</v>
      </c>
      <c r="C143" s="72" t="inlineStr">
        <is>
          <t>GUITTA CORRETORA DE CAMBIO LTDA.</t>
        </is>
      </c>
    </row>
    <row r="144" ht="15" customHeight="1" thickBot="1">
      <c r="B144" s="69" t="n">
        <v>343</v>
      </c>
      <c r="C144" s="70" t="inlineStr">
        <is>
          <t>FFA SOCIEDADE DE CRÉDITO AO MICROEMPREENDEDOR E À EMPRESA DE PEQUENO PORTE LTDA.</t>
        </is>
      </c>
    </row>
    <row r="145" ht="15" customHeight="1" thickBot="1">
      <c r="B145" s="71" t="n">
        <v>279</v>
      </c>
      <c r="C145" s="72" t="inlineStr">
        <is>
          <t>COOPERATIVA DE CREDITO RURAL DE PRIMAVERA DO LESTE</t>
        </is>
      </c>
    </row>
    <row r="146" ht="15" customHeight="1" thickBot="1">
      <c r="B146" s="69" t="n">
        <v>335</v>
      </c>
      <c r="C146" s="70" t="inlineStr">
        <is>
          <t>Banco Digio S.A.</t>
        </is>
      </c>
    </row>
    <row r="147" ht="15" customHeight="1" thickBot="1">
      <c r="B147" s="71" t="n">
        <v>349</v>
      </c>
      <c r="C147" s="72" t="inlineStr">
        <is>
          <t>AL5 S.A. CRÉDITO, FINANCIAMENTO E INVESTIMENTO</t>
        </is>
      </c>
    </row>
    <row r="148" ht="15" customHeight="1" thickBot="1">
      <c r="B148" s="69" t="n">
        <v>374</v>
      </c>
      <c r="C148" s="70" t="inlineStr">
        <is>
          <t>REALIZE CRÉDITO, FINANCIAMENTO E INVESTIMENTO S.A.</t>
        </is>
      </c>
    </row>
    <row r="149" ht="15" customHeight="1" thickBot="1">
      <c r="B149" s="71" t="n">
        <v>278</v>
      </c>
      <c r="C149" s="72" t="inlineStr">
        <is>
          <t>Genial Investimentos Corretora de Valores Mobiliários S.A.</t>
        </is>
      </c>
    </row>
    <row r="150" ht="15" customHeight="1" thickBot="1">
      <c r="B150" s="69" t="n">
        <v>271</v>
      </c>
      <c r="C150" s="70" t="inlineStr">
        <is>
          <t>IB Corretora de Câmbio, Títulos e Valores Mobiliários S.A.</t>
        </is>
      </c>
    </row>
    <row r="151" ht="15" customHeight="1" thickBot="1">
      <c r="B151" s="71" t="n">
        <v>21</v>
      </c>
      <c r="C151" s="72" t="inlineStr">
        <is>
          <t>BANESTES S.A. BANCO DO ESTADO DO ESPIRITO SANTO</t>
        </is>
      </c>
    </row>
    <row r="152" ht="15" customHeight="1" thickBot="1">
      <c r="B152" s="69" t="n">
        <v>246</v>
      </c>
      <c r="C152" s="70" t="inlineStr">
        <is>
          <t>Banco ABC Brasil S.A.</t>
        </is>
      </c>
    </row>
    <row r="153" ht="15" customHeight="1" thickBot="1">
      <c r="B153" s="71" t="n">
        <v>292</v>
      </c>
      <c r="C153" s="72" t="inlineStr">
        <is>
          <t>BS2 Distribuidora de Títulos e Valores Mobiliários S.A.</t>
        </is>
      </c>
    </row>
    <row r="154" ht="15" customHeight="1" thickBot="1">
      <c r="B154" s="69" t="inlineStr">
        <is>
          <t>n/a</t>
        </is>
      </c>
      <c r="C154" s="70" t="inlineStr">
        <is>
          <t>B3 SA – Brasil, Bolsa, Balcão – Segmento Cetip UTVM</t>
        </is>
      </c>
    </row>
    <row r="155" ht="15" customHeight="1" thickBot="1">
      <c r="B155" s="71" t="inlineStr">
        <is>
          <t>n/a</t>
        </is>
      </c>
      <c r="C155" s="72" t="inlineStr">
        <is>
          <t>Câmara Interbancária de Pagamentos – CIP C3</t>
        </is>
      </c>
    </row>
    <row r="156" ht="15" customHeight="1" thickBot="1">
      <c r="B156" s="69" t="n">
        <v>751</v>
      </c>
      <c r="C156" s="70" t="inlineStr">
        <is>
          <t>Scotiabank Brasil S.A. Banco Múltiplo</t>
        </is>
      </c>
    </row>
    <row r="157" ht="15" customHeight="1" thickBot="1">
      <c r="B157" s="71" t="n">
        <v>352</v>
      </c>
      <c r="C157" s="72" t="inlineStr">
        <is>
          <t>TORO CORRETORA DE TÍTULOS E VALORES MOBILIÁRIOS LTDA</t>
        </is>
      </c>
    </row>
    <row r="158" ht="15" customHeight="1" thickBot="1">
      <c r="B158" s="69" t="n">
        <v>208</v>
      </c>
      <c r="C158" s="70" t="inlineStr">
        <is>
          <t>Banco BTG Pactual S.A.</t>
        </is>
      </c>
    </row>
    <row r="159" ht="15" customHeight="1" thickBot="1">
      <c r="B159" s="71" t="n">
        <v>746</v>
      </c>
      <c r="C159" s="72" t="inlineStr">
        <is>
          <t>Banco Modal S.A.</t>
        </is>
      </c>
    </row>
    <row r="160" ht="15" customHeight="1" thickBot="1">
      <c r="B160" s="69" t="n">
        <v>241</v>
      </c>
      <c r="C160" s="70" t="inlineStr">
        <is>
          <t>BANCO CLASSICO S.A.</t>
        </is>
      </c>
    </row>
    <row r="161" ht="15" customHeight="1" thickBot="1">
      <c r="B161" s="71" t="n">
        <v>336</v>
      </c>
      <c r="C161" s="72" t="inlineStr">
        <is>
          <t>Banco C6 S.A.</t>
        </is>
      </c>
    </row>
    <row r="162" ht="15" customHeight="1" thickBot="1">
      <c r="B162" s="69" t="n">
        <v>612</v>
      </c>
      <c r="C162" s="70" t="inlineStr">
        <is>
          <t>Banco Guanabara S.A.</t>
        </is>
      </c>
    </row>
    <row r="163" ht="15" customHeight="1" thickBot="1">
      <c r="B163" s="71" t="n">
        <v>604</v>
      </c>
      <c r="C163" s="72" t="inlineStr">
        <is>
          <t>Banco Industrial do Brasil S.A.</t>
        </is>
      </c>
    </row>
    <row r="164" ht="15" customHeight="1" thickBot="1">
      <c r="B164" s="69" t="n">
        <v>505</v>
      </c>
      <c r="C164" s="70" t="inlineStr">
        <is>
          <t>Banco Credit Suisse (Brasil) S.A.</t>
        </is>
      </c>
    </row>
    <row r="165" ht="15" customHeight="1" thickBot="1">
      <c r="B165" s="71" t="n">
        <v>329</v>
      </c>
      <c r="C165" s="72" t="inlineStr">
        <is>
          <t>QI Sociedade de Crédito Direto S.A.</t>
        </is>
      </c>
    </row>
    <row r="166" ht="15" customHeight="1" thickBot="1">
      <c r="B166" s="69" t="n">
        <v>196</v>
      </c>
      <c r="C166" s="70" t="inlineStr">
        <is>
          <t>FAIR CORRETORA DE CAMBIO S.A.</t>
        </is>
      </c>
    </row>
    <row r="167" ht="15" customHeight="1" thickBot="1">
      <c r="B167" s="71" t="n">
        <v>342</v>
      </c>
      <c r="C167" s="72" t="inlineStr">
        <is>
          <t>Creditas Sociedade de Crédito Direto S.A.</t>
        </is>
      </c>
    </row>
    <row r="168" ht="15" customHeight="1" thickBot="1">
      <c r="B168" s="69" t="n">
        <v>300</v>
      </c>
      <c r="C168" s="70" t="inlineStr">
        <is>
          <t>Banco de la Nacion Argentina</t>
        </is>
      </c>
    </row>
    <row r="169" ht="15" customHeight="1" thickBot="1">
      <c r="B169" s="71" t="n">
        <v>477</v>
      </c>
      <c r="C169" s="72" t="inlineStr">
        <is>
          <t>Citibank N.A.</t>
        </is>
      </c>
    </row>
    <row r="170" ht="15" customHeight="1" thickBot="1">
      <c r="B170" s="69" t="n">
        <v>266</v>
      </c>
      <c r="C170" s="70" t="inlineStr">
        <is>
          <t>BANCO CEDULA S.A.</t>
        </is>
      </c>
    </row>
    <row r="171" ht="15" customHeight="1" thickBot="1">
      <c r="B171" s="71" t="n">
        <v>122</v>
      </c>
      <c r="C171" s="72" t="inlineStr">
        <is>
          <t>Banco Bradesco BERJ S.A.</t>
        </is>
      </c>
    </row>
    <row r="172" ht="15" customHeight="1" thickBot="1">
      <c r="B172" s="69" t="n">
        <v>376</v>
      </c>
      <c r="C172" s="70" t="inlineStr">
        <is>
          <t>BANCO J.P. MORGAN S.A.</t>
        </is>
      </c>
    </row>
    <row r="173" ht="15" customHeight="1" thickBot="1">
      <c r="B173" s="71" t="n">
        <v>348</v>
      </c>
      <c r="C173" s="72" t="inlineStr">
        <is>
          <t>Banco XP S.A.</t>
        </is>
      </c>
    </row>
    <row r="174" ht="15" customHeight="1" thickBot="1">
      <c r="B174" s="69" t="n">
        <v>473</v>
      </c>
      <c r="C174" s="70" t="inlineStr">
        <is>
          <t>Banco Caixa Geral – Brasil S.A.</t>
        </is>
      </c>
    </row>
    <row r="175" ht="15" customHeight="1" thickBot="1">
      <c r="B175" s="71" t="n">
        <v>745</v>
      </c>
      <c r="C175" s="72" t="inlineStr">
        <is>
          <t>Banco Citibank S.A.</t>
        </is>
      </c>
    </row>
    <row r="176" ht="15" customHeight="1" thickBot="1">
      <c r="B176" s="69" t="n">
        <v>120</v>
      </c>
      <c r="C176" s="70" t="inlineStr">
        <is>
          <t>BANCO RODOBENS S.A.</t>
        </is>
      </c>
    </row>
    <row r="177" ht="15" customHeight="1" thickBot="1">
      <c r="B177" s="71" t="n">
        <v>265</v>
      </c>
      <c r="C177" s="72" t="inlineStr">
        <is>
          <t>Banco Fator S.A.</t>
        </is>
      </c>
    </row>
    <row r="178" ht="15" customHeight="1" thickBot="1">
      <c r="B178" s="69" t="n">
        <v>7</v>
      </c>
      <c r="C178" s="70" t="inlineStr">
        <is>
          <t>BANCO NACIONAL DE DESENVOLVIMENTO ECONOMICO E SOCIAL</t>
        </is>
      </c>
    </row>
    <row r="179" ht="15" customHeight="1" thickBot="1">
      <c r="B179" s="71" t="n">
        <v>188</v>
      </c>
      <c r="C179" s="72" t="inlineStr">
        <is>
          <t>ATIVA INVESTIMENTOS S.A. CORRETORA DE TÍTULOS, CÂMBIO E VALORES</t>
        </is>
      </c>
    </row>
    <row r="180" ht="15" customHeight="1" thickBot="1">
      <c r="B180" s="69" t="n">
        <v>134</v>
      </c>
      <c r="C180" s="70" t="inlineStr">
        <is>
          <t>BGC LIQUIDEZ DISTRIBUIDORA DE TÍTULOS E VALORES MOBILIÁRIOS LTDA</t>
        </is>
      </c>
    </row>
    <row r="181" ht="15" customHeight="1" thickBot="1">
      <c r="B181" s="71" t="n">
        <v>29</v>
      </c>
      <c r="C181" s="72" t="inlineStr">
        <is>
          <t>Banco Itaú Consignado S.A.</t>
        </is>
      </c>
    </row>
    <row r="182" ht="15" customHeight="1" thickBot="1">
      <c r="B182" s="69" t="n">
        <v>243</v>
      </c>
      <c r="C182" s="70" t="inlineStr">
        <is>
          <t>Banco Máxima S.A.</t>
        </is>
      </c>
    </row>
    <row r="183" ht="15" customHeight="1" thickBot="1">
      <c r="B183" s="71" t="n">
        <v>397</v>
      </c>
      <c r="C183" s="72" t="inlineStr">
        <is>
          <t>LISTO SOCIEDADE DE CREDITO DIRETO S.A.</t>
        </is>
      </c>
    </row>
    <row r="184" ht="15" customHeight="1" thickBot="1">
      <c r="B184" s="69" t="n">
        <v>78</v>
      </c>
      <c r="C184" s="70" t="inlineStr">
        <is>
          <t>Haitong Banco de Investimento do Brasil S.A.</t>
        </is>
      </c>
    </row>
    <row r="185" ht="15" customHeight="1" thickBot="1">
      <c r="B185" s="71" t="n">
        <v>355</v>
      </c>
      <c r="C185" s="72" t="inlineStr">
        <is>
          <t>ÓTIMO SOCIEDADE DE CRÉDITO DIRETO S.A.</t>
        </is>
      </c>
    </row>
    <row r="186" ht="15" customHeight="1" thickBot="1">
      <c r="B186" s="69" t="n">
        <v>367</v>
      </c>
      <c r="C186" s="70" t="inlineStr">
        <is>
          <t>VITREO DISTRIBUIDORA DE TÍTULOS E VALORES MOBILIÁRIOS S.A.</t>
        </is>
      </c>
    </row>
    <row r="187" ht="15" customHeight="1" thickBot="1">
      <c r="B187" s="71" t="n">
        <v>373</v>
      </c>
      <c r="C187" s="72" t="inlineStr">
        <is>
          <t>UP.P SOCIEDADE DE EMPRÉSTIMO ENTRE PESSOAS S.A.</t>
        </is>
      </c>
    </row>
    <row r="188" ht="15" customHeight="1" thickBot="1">
      <c r="B188" s="69" t="n">
        <v>111</v>
      </c>
      <c r="C188" s="70" t="inlineStr">
        <is>
          <t>OLIVEIRA TRUST DISTRIBUIDORA DE TÍTULOS E VALORES MOBILIARIOS S.A.</t>
        </is>
      </c>
    </row>
    <row r="189" ht="15" customHeight="1" thickBot="1">
      <c r="B189" s="71" t="n">
        <v>408</v>
      </c>
      <c r="C189" s="72" t="inlineStr">
        <is>
          <t>BÔNUSCRED SOCIEDADE DE CRÉDITO DIRETO S.A.</t>
        </is>
      </c>
    </row>
    <row r="190" ht="15" customHeight="1" thickBot="1">
      <c r="B190" s="69" t="n">
        <v>404</v>
      </c>
      <c r="C190" s="70" t="inlineStr">
        <is>
          <t>SUMUP SOCIEDADE DE CRÉDITO DIRETO S.A.</t>
        </is>
      </c>
    </row>
    <row r="191" ht="15" customHeight="1" thickBot="1">
      <c r="B191" s="71" t="n">
        <v>403</v>
      </c>
      <c r="C191" s="72" t="inlineStr">
        <is>
          <t>CORA SOCIEDADE DE CRÉDITO DIRETO S.A.</t>
        </is>
      </c>
    </row>
    <row r="192" ht="15" customHeight="1" thickBot="1">
      <c r="B192" s="69" t="n">
        <v>306</v>
      </c>
      <c r="C192" s="70" t="inlineStr">
        <is>
          <t>PORTOPAR DISTRIBUIDORA DE TITULOS E VALORES MOBILIARIOS LTDA.</t>
        </is>
      </c>
    </row>
    <row r="193" ht="15" customHeight="1" thickBot="1">
      <c r="B193" s="71" t="n">
        <v>17</v>
      </c>
      <c r="C193" s="72" t="inlineStr">
        <is>
          <t>BNY Mellon Banco S.A.</t>
        </is>
      </c>
    </row>
    <row r="194" ht="15" customHeight="1" thickBot="1">
      <c r="B194" s="69" t="n">
        <v>174</v>
      </c>
      <c r="C194" s="70" t="inlineStr">
        <is>
          <t>PEFISA S.A. – CRÉDITO, FINANCIAMENTO E INVESTIMENTO</t>
        </is>
      </c>
    </row>
    <row r="195" ht="15" customHeight="1" thickBot="1">
      <c r="B195" s="71" t="n">
        <v>495</v>
      </c>
      <c r="C195" s="72" t="inlineStr">
        <is>
          <t>Banco de La Provincia de Buenos Aires</t>
        </is>
      </c>
    </row>
    <row r="196" ht="15" customHeight="1" thickBot="1">
      <c r="B196" s="69" t="n">
        <v>125</v>
      </c>
      <c r="C196" s="70" t="inlineStr">
        <is>
          <t>Plural S.A. Banco Múltiplo</t>
        </is>
      </c>
    </row>
    <row r="197" ht="15" customHeight="1" thickBot="1">
      <c r="B197" s="71" t="n">
        <v>488</v>
      </c>
      <c r="C197" s="72" t="inlineStr">
        <is>
          <t>JPMorgan Chase Bank, National Association</t>
        </is>
      </c>
    </row>
    <row r="198" ht="15" customHeight="1" thickBot="1">
      <c r="B198" s="69" t="n">
        <v>65</v>
      </c>
      <c r="C198" s="70" t="inlineStr">
        <is>
          <t>Banco AndBank (Brasil) S.A.</t>
        </is>
      </c>
    </row>
    <row r="199" ht="15" customHeight="1" thickBot="1">
      <c r="B199" s="71" t="n">
        <v>492</v>
      </c>
      <c r="C199" s="72" t="inlineStr">
        <is>
          <t>ING Bank N.V.</t>
        </is>
      </c>
    </row>
    <row r="200" ht="15" customHeight="1" thickBot="1">
      <c r="B200" s="69" t="n">
        <v>145</v>
      </c>
      <c r="C200" s="70" t="inlineStr">
        <is>
          <t>LEVYCAM – CORRETORA DE CAMBIO E VALORES LTDA.</t>
        </is>
      </c>
    </row>
    <row r="201" ht="15" customHeight="1" thickBot="1">
      <c r="B201" s="71" t="n">
        <v>250</v>
      </c>
      <c r="C201" s="72" t="inlineStr">
        <is>
          <t>BCV – BANCO DE CRÉDITO E VAREJO S.A.</t>
        </is>
      </c>
    </row>
    <row r="202" ht="15" customHeight="1" thickBot="1">
      <c r="B202" s="69" t="n">
        <v>354</v>
      </c>
      <c r="C202" s="70" t="inlineStr">
        <is>
          <t>NECTON INVESTIMENTOS  S.A. CORRETORA DE VALORES MOBILIÁRIOS E COMMODITIES</t>
        </is>
      </c>
    </row>
    <row r="203" ht="15" customHeight="1" thickBot="1">
      <c r="B203" s="71" t="n">
        <v>253</v>
      </c>
      <c r="C203" s="72" t="inlineStr">
        <is>
          <t>Bexs Corretora de Câmbio S/A</t>
        </is>
      </c>
    </row>
    <row r="204" ht="15" customHeight="1" thickBot="1">
      <c r="B204" s="69" t="n">
        <v>269</v>
      </c>
      <c r="C204" s="70" t="inlineStr">
        <is>
          <t>BANCO HSBC S.A.</t>
        </is>
      </c>
    </row>
    <row r="205" ht="15" customHeight="1" thickBot="1">
      <c r="B205" s="71" t="n">
        <v>213</v>
      </c>
      <c r="C205" s="72" t="inlineStr">
        <is>
          <t>Banco Arbi S.A.</t>
        </is>
      </c>
    </row>
    <row r="206" ht="15" customHeight="1" thickBot="1">
      <c r="B206" s="69" t="inlineStr">
        <is>
          <t>n/a</t>
        </is>
      </c>
      <c r="C206" s="70" t="inlineStr">
        <is>
          <t>BMF Bovespa S.A. – Bolsa de Valores, Mercadorias e Futuros – Camara BMFBOVESPA</t>
        </is>
      </c>
    </row>
    <row r="207" ht="15" customHeight="1" thickBot="1">
      <c r="B207" s="71" t="n">
        <v>139</v>
      </c>
      <c r="C207" s="72" t="inlineStr">
        <is>
          <t>Intesa Sanpaolo Brasil S.A. – Banco Múltiplo</t>
        </is>
      </c>
    </row>
    <row r="208" ht="15" customHeight="1" thickBot="1">
      <c r="B208" s="69" t="n">
        <v>18</v>
      </c>
      <c r="C208" s="70" t="inlineStr">
        <is>
          <t>Banco Tricury S.A.</t>
        </is>
      </c>
    </row>
    <row r="209" ht="15" customHeight="1" thickBot="1">
      <c r="B209" s="71" t="n">
        <v>422</v>
      </c>
      <c r="C209" s="72" t="inlineStr">
        <is>
          <t>Banco Safra S.A.</t>
        </is>
      </c>
    </row>
    <row r="210" ht="15" customHeight="1" thickBot="1">
      <c r="B210" s="69" t="n">
        <v>630</v>
      </c>
      <c r="C210" s="70" t="inlineStr">
        <is>
          <t>Banco Smartbank S.A.</t>
        </is>
      </c>
    </row>
    <row r="211" ht="15" customHeight="1" thickBot="1">
      <c r="B211" s="71" t="n">
        <v>224</v>
      </c>
      <c r="C211" s="72" t="inlineStr">
        <is>
          <t>Banco Fibra S.A.</t>
        </is>
      </c>
    </row>
    <row r="212" ht="15" customHeight="1" thickBot="1">
      <c r="B212" s="69" t="n">
        <v>393</v>
      </c>
      <c r="C212" s="70" t="inlineStr">
        <is>
          <t>Banco Volkswagen S.A.</t>
        </is>
      </c>
    </row>
    <row r="213" ht="15" customHeight="1" thickBot="1">
      <c r="B213" s="71" t="n">
        <v>600</v>
      </c>
      <c r="C213" s="72" t="inlineStr">
        <is>
          <t>Banco Luso Brasileiro S.A.</t>
        </is>
      </c>
    </row>
    <row r="214" ht="15" customHeight="1" thickBot="1">
      <c r="B214" s="69" t="n">
        <v>390</v>
      </c>
      <c r="C214" s="70" t="inlineStr">
        <is>
          <t>BANCO GM S.A.</t>
        </is>
      </c>
    </row>
    <row r="215" ht="15" customHeight="1" thickBot="1">
      <c r="B215" s="71" t="n">
        <v>623</v>
      </c>
      <c r="C215" s="72" t="inlineStr">
        <is>
          <t>Banco Pan S.A.</t>
        </is>
      </c>
    </row>
    <row r="216" ht="15" customHeight="1" thickBot="1">
      <c r="B216" s="69" t="n">
        <v>655</v>
      </c>
      <c r="C216" s="70" t="inlineStr">
        <is>
          <t>Banco Votorantim S.A.</t>
        </is>
      </c>
    </row>
    <row r="217" ht="15" customHeight="1" thickBot="1">
      <c r="B217" s="71" t="n">
        <v>479</v>
      </c>
      <c r="C217" s="72" t="inlineStr">
        <is>
          <t>Banco ItauBank S.A.</t>
        </is>
      </c>
    </row>
    <row r="218" ht="15" customHeight="1" thickBot="1">
      <c r="B218" s="69" t="n">
        <v>456</v>
      </c>
      <c r="C218" s="70" t="inlineStr">
        <is>
          <t>Banco MUFG Brasil S.A.</t>
        </is>
      </c>
    </row>
    <row r="219" ht="15" customHeight="1" thickBot="1">
      <c r="B219" s="71" t="n">
        <v>464</v>
      </c>
      <c r="C219" s="72" t="inlineStr">
        <is>
          <t>Banco Sumitomo Mitsui Brasileiro S.A.</t>
        </is>
      </c>
    </row>
    <row r="220" ht="15" customHeight="1" thickBot="1">
      <c r="B220" s="69" t="n">
        <v>341</v>
      </c>
      <c r="C220" s="70" t="inlineStr">
        <is>
          <t>ITAÚ UNIBANCO S.A.</t>
        </is>
      </c>
    </row>
    <row r="221" ht="15" customHeight="1" thickBot="1">
      <c r="B221" s="71" t="n">
        <v>237</v>
      </c>
      <c r="C221" s="72" t="inlineStr">
        <is>
          <t>Banco Bradesco S.A.</t>
        </is>
      </c>
    </row>
    <row r="222" ht="15" customHeight="1" thickBot="1">
      <c r="B222" s="69" t="n">
        <v>381</v>
      </c>
      <c r="C222" s="70" t="inlineStr">
        <is>
          <t>BANCO MERCEDES-BENZ DO BRASIL S.A.</t>
        </is>
      </c>
    </row>
    <row r="223" ht="15" customHeight="1" thickBot="1">
      <c r="B223" s="71" t="n">
        <v>613</v>
      </c>
      <c r="C223" s="72" t="inlineStr">
        <is>
          <t>Omni Banco S.A.</t>
        </is>
      </c>
    </row>
    <row r="224" ht="15" customHeight="1" thickBot="1">
      <c r="B224" s="69" t="n">
        <v>652</v>
      </c>
      <c r="C224" s="70" t="inlineStr">
        <is>
          <t>Itaú Unibanco Holding S.A.</t>
        </is>
      </c>
    </row>
    <row r="225" ht="15" customHeight="1" thickBot="1">
      <c r="B225" s="71" t="n">
        <v>637</v>
      </c>
      <c r="C225" s="72" t="inlineStr">
        <is>
          <t>BANCO SOFISA S.A.</t>
        </is>
      </c>
    </row>
    <row r="226" ht="15" customHeight="1" thickBot="1">
      <c r="B226" s="69" t="inlineStr">
        <is>
          <t>n/a</t>
        </is>
      </c>
      <c r="C226" s="70" t="inlineStr">
        <is>
          <t>BMF Bovespa S/A – Bolsa de Valores, Mercadorias e Futuros – Camara Cambio</t>
        </is>
      </c>
    </row>
    <row r="227" ht="15" customHeight="1" thickBot="1">
      <c r="B227" s="71" t="n">
        <v>653</v>
      </c>
      <c r="C227" s="72" t="inlineStr">
        <is>
          <t>BANCO INDUSVAL S.A.</t>
        </is>
      </c>
    </row>
    <row r="228" ht="15" customHeight="1" thickBot="1">
      <c r="B228" s="69" t="n">
        <v>69</v>
      </c>
      <c r="C228" s="70" t="inlineStr">
        <is>
          <t>Banco Crefisa S.A.</t>
        </is>
      </c>
    </row>
    <row r="229" ht="15" customHeight="1" thickBot="1">
      <c r="B229" s="71" t="n">
        <v>370</v>
      </c>
      <c r="C229" s="72" t="inlineStr">
        <is>
          <t>Banco Mizuho do Brasil S.A.</t>
        </is>
      </c>
    </row>
    <row r="230" ht="15" customHeight="1" thickBot="1">
      <c r="B230" s="69" t="n">
        <v>249</v>
      </c>
      <c r="C230" s="70" t="inlineStr">
        <is>
          <t>Banco Investcred Unibanco S.A.</t>
        </is>
      </c>
    </row>
    <row r="231" ht="15" customHeight="1" thickBot="1">
      <c r="B231" s="71" t="n">
        <v>318</v>
      </c>
      <c r="C231" s="72" t="inlineStr">
        <is>
          <t>Banco BMG S.A.</t>
        </is>
      </c>
    </row>
    <row r="232" ht="15" customHeight="1" thickBot="1">
      <c r="B232" s="69" t="n">
        <v>626</v>
      </c>
      <c r="C232" s="70" t="inlineStr">
        <is>
          <t>BANCO C6 CONSIGNADO S.A.</t>
        </is>
      </c>
    </row>
    <row r="233" ht="15" customHeight="1" thickBot="1">
      <c r="B233" s="71" t="n">
        <v>270</v>
      </c>
      <c r="C233" s="72" t="inlineStr">
        <is>
          <t>Sagitur Corretora de Câmbio Ltda.</t>
        </is>
      </c>
    </row>
    <row r="234" ht="15" customHeight="1" thickBot="1">
      <c r="B234" s="69" t="n">
        <v>366</v>
      </c>
      <c r="C234" s="70" t="inlineStr">
        <is>
          <t>BANCO SOCIETE GENERALE BRASIL S.A.</t>
        </is>
      </c>
    </row>
    <row r="235" ht="15" customHeight="1" thickBot="1">
      <c r="B235" s="71" t="n">
        <v>113</v>
      </c>
      <c r="C235" s="72" t="inlineStr">
        <is>
          <t>Magliano S.A. Corretora de Cambio e Valores Mobiliarios</t>
        </is>
      </c>
    </row>
    <row r="236" ht="15" customHeight="1" thickBot="1">
      <c r="B236" s="69" t="n">
        <v>131</v>
      </c>
      <c r="C236" s="70" t="inlineStr">
        <is>
          <t>TULLETT PREBON BRASIL CORRETORA DE VALORES E CÂMBIO LTDA</t>
        </is>
      </c>
    </row>
    <row r="237" ht="15" customHeight="1" thickBot="1">
      <c r="B237" s="71" t="n">
        <v>11</v>
      </c>
      <c r="C237" s="72" t="inlineStr">
        <is>
          <t>CREDIT SUISSE HEDGING-GRIFFO CORRETORA DE VALORES S.A</t>
        </is>
      </c>
    </row>
    <row r="238" ht="15" customHeight="1" thickBot="1">
      <c r="B238" s="69" t="n">
        <v>611</v>
      </c>
      <c r="C238" s="70" t="inlineStr">
        <is>
          <t>Banco Paulista S.A.</t>
        </is>
      </c>
    </row>
    <row r="239" ht="15" customHeight="1" thickBot="1">
      <c r="B239" s="71" t="n">
        <v>755</v>
      </c>
      <c r="C239" s="72" t="inlineStr">
        <is>
          <t>Bank of America Merrill Lynch Banco Múltiplo S.A.</t>
        </is>
      </c>
    </row>
    <row r="240" ht="15" customHeight="1" thickBot="1">
      <c r="B240" s="69" t="n">
        <v>89</v>
      </c>
      <c r="C240" s="70" t="inlineStr">
        <is>
          <t>CREDISAN COOPERATIVA DE CRÉDITO</t>
        </is>
      </c>
    </row>
    <row r="241" ht="15" customHeight="1" thickBot="1">
      <c r="B241" s="71" t="n">
        <v>643</v>
      </c>
      <c r="C241" s="72" t="inlineStr">
        <is>
          <t>Banco Pine S.A.</t>
        </is>
      </c>
    </row>
    <row r="242" ht="15" customHeight="1" thickBot="1">
      <c r="B242" s="69" t="n">
        <v>140</v>
      </c>
      <c r="C242" s="70" t="inlineStr">
        <is>
          <t>Easynvest – Título Corretora de Valores SA</t>
        </is>
      </c>
    </row>
    <row r="243" ht="15" customHeight="1" thickBot="1">
      <c r="B243" s="71" t="n">
        <v>707</v>
      </c>
      <c r="C243" s="72" t="inlineStr">
        <is>
          <t>Banco Daycoval S.A.</t>
        </is>
      </c>
    </row>
    <row r="244" ht="15" customHeight="1" thickBot="1">
      <c r="B244" s="69" t="n">
        <v>288</v>
      </c>
      <c r="C244" s="70" t="inlineStr">
        <is>
          <t>CAROL DISTRIBUIDORA DE TITULOS E VALORES MOBILIARIOS LTDA.</t>
        </is>
      </c>
    </row>
    <row r="245" ht="15" customHeight="1" thickBot="1">
      <c r="B245" s="71" t="n">
        <v>363</v>
      </c>
      <c r="C245" s="72" t="inlineStr">
        <is>
          <t>SOCOPA SOCIEDADE CORRETORA PAULISTA S.A.</t>
        </is>
      </c>
    </row>
    <row r="246" ht="15" customHeight="1" thickBot="1">
      <c r="B246" s="69" t="n">
        <v>101</v>
      </c>
      <c r="C246" s="70" t="inlineStr">
        <is>
          <t>RENASCENCA DISTRIBUIDORA DE TÍTULOS E VALORES MOBILIÁRIOS LTDA</t>
        </is>
      </c>
    </row>
    <row r="247" ht="15" customHeight="1" thickBot="1">
      <c r="B247" s="71" t="n">
        <v>487</v>
      </c>
      <c r="C247" s="72" t="inlineStr">
        <is>
          <t>DEUTSCHE BANK S.A. – BANCO ALEMAO</t>
        </is>
      </c>
    </row>
    <row r="248" ht="15" customHeight="1" thickBot="1">
      <c r="B248" s="69" t="n">
        <v>233</v>
      </c>
      <c r="C248" s="70" t="inlineStr">
        <is>
          <t>Banco Cifra S.A.</t>
        </is>
      </c>
    </row>
    <row r="249" ht="15" customHeight="1" thickBot="1">
      <c r="B249" s="71" t="n">
        <v>177</v>
      </c>
      <c r="C249" s="72" t="inlineStr">
        <is>
          <t>Guide Investimentos S.A. Corretora de Valores</t>
        </is>
      </c>
    </row>
    <row r="250" ht="15" customHeight="1" thickBot="1">
      <c r="B250" s="69" t="n">
        <v>365</v>
      </c>
      <c r="C250" s="70" t="inlineStr">
        <is>
          <t>SOLIDUS S.A. CORRETORA DE CAMBIO E VALORES MOBILIARIOS</t>
        </is>
      </c>
    </row>
    <row r="251" ht="15" customHeight="1" thickBot="1">
      <c r="B251" s="71" t="n">
        <v>633</v>
      </c>
      <c r="C251" s="72" t="inlineStr">
        <is>
          <t>Banco Rendimento S.A.</t>
        </is>
      </c>
    </row>
    <row r="252" ht="15" customHeight="1" thickBot="1">
      <c r="B252" s="69" t="n">
        <v>218</v>
      </c>
      <c r="C252" s="70" t="inlineStr">
        <is>
          <t>Banco BS2 S.A.</t>
        </is>
      </c>
    </row>
    <row r="253" ht="15" customHeight="1" thickBot="1">
      <c r="B253" s="71" t="n">
        <v>169</v>
      </c>
      <c r="C253" s="72" t="inlineStr">
        <is>
          <t>BANCO OLÉ CONSIGNADO S.A.</t>
        </is>
      </c>
    </row>
    <row r="254" ht="15" customHeight="1" thickBot="1">
      <c r="B254" s="69" t="n">
        <v>293</v>
      </c>
      <c r="C254" s="70" t="inlineStr">
        <is>
          <t>Lastro RDV Distribuidora de Títulos e Valores Mobiliários Ltda.</t>
        </is>
      </c>
    </row>
    <row r="255" ht="15" customHeight="1" thickBot="1">
      <c r="B255" s="71" t="n">
        <v>285</v>
      </c>
      <c r="C255" s="72" t="inlineStr">
        <is>
          <t>Frente Corretora de Câmbio Ltda.</t>
        </is>
      </c>
    </row>
    <row r="256" ht="15" customHeight="1" thickBot="1">
      <c r="B256" s="69" t="n">
        <v>80</v>
      </c>
      <c r="C256" s="70" t="inlineStr">
        <is>
          <t>B&amp;T CORRETORA DE CAMBIO LTDA.</t>
        </is>
      </c>
    </row>
    <row r="257" ht="15" customHeight="1" thickBot="1">
      <c r="B257" s="71" t="n">
        <v>753</v>
      </c>
      <c r="C257" s="72" t="inlineStr">
        <is>
          <t>Novo Banco Continental S.A. – Banco Múltiplo</t>
        </is>
      </c>
    </row>
    <row r="258" ht="15" customHeight="1" thickBot="1">
      <c r="B258" s="69" t="n">
        <v>222</v>
      </c>
      <c r="C258" s="70" t="inlineStr">
        <is>
          <t>BANCO CRÉDIT AGRICOLE BRASIL S.A.</t>
        </is>
      </c>
    </row>
    <row r="259" ht="15" customHeight="1" thickBot="1">
      <c r="B259" s="71" t="n">
        <v>281</v>
      </c>
      <c r="C259" s="72" t="inlineStr">
        <is>
          <t>Cooperativa de Crédito Rural Coopavel</t>
        </is>
      </c>
    </row>
    <row r="260" ht="15" customHeight="1" thickBot="1">
      <c r="B260" s="69" t="n">
        <v>754</v>
      </c>
      <c r="C260" s="70" t="inlineStr">
        <is>
          <t>Banco Sistema S.A.</t>
        </is>
      </c>
    </row>
    <row r="261" ht="15" customHeight="1" thickBot="1">
      <c r="B261" s="71" t="n">
        <v>98</v>
      </c>
      <c r="C261" s="72" t="inlineStr">
        <is>
          <t>Credialiança Cooperativa de Crédito Rural</t>
        </is>
      </c>
    </row>
    <row r="262" ht="15" customHeight="1" thickBot="1">
      <c r="B262" s="69" t="n">
        <v>610</v>
      </c>
      <c r="C262" s="70" t="inlineStr">
        <is>
          <t>Banco VR S.A.</t>
        </is>
      </c>
    </row>
    <row r="263" ht="15" customHeight="1" thickBot="1">
      <c r="B263" s="71" t="n">
        <v>712</v>
      </c>
      <c r="C263" s="72" t="inlineStr">
        <is>
          <t>Banco Ourinvest S.A.</t>
        </is>
      </c>
    </row>
    <row r="264" ht="15" customHeight="1" thickBot="1">
      <c r="B264" s="69" t="n">
        <v>10</v>
      </c>
      <c r="C264" s="70" t="inlineStr">
        <is>
          <t>CREDICOAMO CREDITO RURAL COOPERATIVA</t>
        </is>
      </c>
    </row>
    <row r="265" ht="15" customHeight="1" thickBot="1">
      <c r="B265" s="71" t="n">
        <v>283</v>
      </c>
      <c r="C265" s="72" t="inlineStr">
        <is>
          <t>RB CAPITAL INVESTIMENTOS DISTRIBUIDORA DE TÍTULOS E VALORES MOBILIÁRIOS LIMITADA</t>
        </is>
      </c>
    </row>
    <row r="266" ht="15" customHeight="1" thickBot="1">
      <c r="B266" s="69" t="n">
        <v>33</v>
      </c>
      <c r="C266" s="70" t="inlineStr">
        <is>
          <t>BANCO SANTANDER (BRASIL) S.A.</t>
        </is>
      </c>
    </row>
    <row r="267" ht="15" customHeight="1" thickBot="1">
      <c r="B267" s="71" t="n">
        <v>217</v>
      </c>
      <c r="C267" s="72" t="inlineStr">
        <is>
          <t>Banco John Deere S.A.</t>
        </is>
      </c>
    </row>
    <row r="268" ht="15" customHeight="1" thickBot="1">
      <c r="B268" s="69" t="n">
        <v>41</v>
      </c>
      <c r="C268" s="70" t="inlineStr">
        <is>
          <t>Banco do Estado do Rio Grande do Sul S.A.</t>
        </is>
      </c>
    </row>
    <row r="269" ht="15" customHeight="1" thickBot="1">
      <c r="B269" s="71" t="n">
        <v>117</v>
      </c>
      <c r="C269" s="72" t="inlineStr">
        <is>
          <t>ADVANCED CORRETORA DE CÂMBIO LTDA</t>
        </is>
      </c>
    </row>
    <row r="270" ht="15" customHeight="1" thickBot="1">
      <c r="B270" s="69" t="n">
        <v>654</v>
      </c>
      <c r="C270" s="70" t="inlineStr">
        <is>
          <t>BANCO DIGIMAIS S.A.</t>
        </is>
      </c>
    </row>
    <row r="271" ht="15" customHeight="1" thickBot="1">
      <c r="B271" s="71" t="n">
        <v>371</v>
      </c>
      <c r="C271" s="72" t="inlineStr">
        <is>
          <t>WARREN CORRETORA DE VALORES MOBILIÁRIOS E CÂMBIO LTDA.</t>
        </is>
      </c>
    </row>
    <row r="272" ht="15" customHeight="1" thickBot="1">
      <c r="B272" s="69" t="n">
        <v>212</v>
      </c>
      <c r="C272" s="70" t="inlineStr">
        <is>
          <t>Banco Original S.A.</t>
        </is>
      </c>
    </row>
    <row r="273" ht="15" customHeight="1" thickBot="1">
      <c r="B273" s="73" t="n">
        <v>289</v>
      </c>
      <c r="C273" s="74" t="inlineStr">
        <is>
          <t>DECYSEO CORRETORA DE CAMBIO LTDA.</t>
        </is>
      </c>
    </row>
    <row r="274" ht="15" customHeight="1" thickBot="1">
      <c r="B274" s="65" t="n"/>
      <c r="C274" s="64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APW Brasil</dc:creator>
  <dcterms:created xmlns:dcterms="http://purl.org/dc/terms/" xmlns:xsi="http://www.w3.org/2001/XMLSchema-instance" xsi:type="dcterms:W3CDTF">2016-03-09T12:45:56Z</dcterms:created>
  <dcterms:modified xmlns:dcterms="http://purl.org/dc/terms/" xmlns:xsi="http://www.w3.org/2001/XMLSchema-instance" xsi:type="dcterms:W3CDTF">2026-10-23T17:32:55Z</dcterms:modified>
  <cp:lastModifiedBy>APW Brasil</cp:lastModifiedBy>
</cp:coreProperties>
</file>